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cleaned_answers" sheetId="2" r:id="rId6"/>
    <sheet state="visible" name="quantans" sheetId="3" r:id="rId7"/>
    <sheet state="visible" name="jmv_quant" sheetId="4" r:id="rId8"/>
    <sheet state="visible" name="difficulty" sheetId="5" r:id="rId9"/>
    <sheet state="visible" name="jamovi_diff" sheetId="6" r:id="rId10"/>
    <sheet state="visible" name="qual_codebook" sheetId="7" r:id="rId11"/>
    <sheet state="visible" name="qual" sheetId="8" r:id="rId12"/>
    <sheet state="visible" name="demanswers" sheetId="9" r:id="rId13"/>
    <sheet state="visible" name="timers" sheetId="10" r:id="rId14"/>
    <sheet state="visible" name="jmv_timers" sheetId="11" r:id="rId15"/>
    <sheet state="visible" name="computed" sheetId="12" r:id="rId16"/>
    <sheet state="visible" name="jmv_age" sheetId="13" r:id="rId17"/>
    <sheet state="visible" name="jmv_exp" sheetId="14" r:id="rId18"/>
    <sheet state="visible" name="flowchart" sheetId="15" r:id="rId19"/>
  </sheets>
  <definedNames/>
  <calcPr/>
</workbook>
</file>

<file path=xl/sharedStrings.xml><?xml version="1.0" encoding="utf-8"?>
<sst xmlns="http://schemas.openxmlformats.org/spreadsheetml/2006/main" count="4644" uniqueCount="1046">
  <si>
    <t>Lookup table (based on effort and hazard)</t>
  </si>
  <si>
    <t>Top choice</t>
  </si>
  <si>
    <t>P0[1]</t>
  </si>
  <si>
    <t>P0[2]</t>
  </si>
  <si>
    <t>P0[3]</t>
  </si>
  <si>
    <t>Condition</t>
  </si>
  <si>
    <t>P0W</t>
  </si>
  <si>
    <t>P1n[1]</t>
  </si>
  <si>
    <t>P1n[2]</t>
  </si>
  <si>
    <t>P1n[3]</t>
  </si>
  <si>
    <t>EL1</t>
  </si>
  <si>
    <t>P1nW</t>
  </si>
  <si>
    <t>EL2</t>
  </si>
  <si>
    <t>P1nD</t>
  </si>
  <si>
    <t>EL3</t>
  </si>
  <si>
    <t>HL1</t>
  </si>
  <si>
    <t>P2n[1]</t>
  </si>
  <si>
    <t>Significance of change in top choice</t>
  </si>
  <si>
    <t>HL2</t>
  </si>
  <si>
    <t>P2n[2]</t>
  </si>
  <si>
    <t>HL3</t>
  </si>
  <si>
    <t>P2n[3]</t>
  </si>
  <si>
    <t>P1</t>
  </si>
  <si>
    <t>Summary</t>
  </si>
  <si>
    <t>P2nW</t>
  </si>
  <si>
    <t>B</t>
  </si>
  <si>
    <t>A</t>
  </si>
  <si>
    <t>C</t>
  </si>
  <si>
    <t>P1_top_changed</t>
  </si>
  <si>
    <t>P3n[1]</t>
  </si>
  <si>
    <t>P2_top_changed</t>
  </si>
  <si>
    <t>P3n[2]</t>
  </si>
  <si>
    <t>P2</t>
  </si>
  <si>
    <t>P3n[3]</t>
  </si>
  <si>
    <t>P3_top_changed</t>
  </si>
  <si>
    <t>P2nD</t>
  </si>
  <si>
    <t>P4n[1]</t>
  </si>
  <si>
    <t>P4_top_changed</t>
  </si>
  <si>
    <t>P4n[2]</t>
  </si>
  <si>
    <t>P1 (χ²(2) = 44.000, p &lt; .001)</t>
  </si>
  <si>
    <t>P4n[3]</t>
  </si>
  <si>
    <t>Prototype</t>
  </si>
  <si>
    <t>P1h[1]</t>
  </si>
  <si>
    <t>Chi2</t>
  </si>
  <si>
    <t>P1h[2]</t>
  </si>
  <si>
    <t>df</t>
  </si>
  <si>
    <t>P3</t>
  </si>
  <si>
    <t>P1h[3]</t>
  </si>
  <si>
    <t>p</t>
  </si>
  <si>
    <t>P3nW</t>
  </si>
  <si>
    <t>P2h[1]</t>
  </si>
  <si>
    <t>P3nD</t>
  </si>
  <si>
    <t>N</t>
  </si>
  <si>
    <t>P2h[2]</t>
  </si>
  <si>
    <t>P2h[3]</t>
  </si>
  <si>
    <t>P3h[1]</t>
  </si>
  <si>
    <t>P3h[2]</t>
  </si>
  <si>
    <t>P4</t>
  </si>
  <si>
    <t>P3h[3]</t>
  </si>
  <si>
    <t>P4nW</t>
  </si>
  <si>
    <t>P4h[1]</t>
  </si>
  <si>
    <t>No-hazard \ Hazard</t>
  </si>
  <si>
    <t>P4nD</t>
  </si>
  <si>
    <t>P4h[2]</t>
  </si>
  <si>
    <t>P4h[3]</t>
  </si>
  <si>
    <t>&lt;.001</t>
  </si>
  <si>
    <t>P1hW</t>
  </si>
  <si>
    <t>Missing</t>
  </si>
  <si>
    <t>P1hD</t>
  </si>
  <si>
    <t>Summary of results</t>
  </si>
  <si>
    <t>P2hW</t>
  </si>
  <si>
    <t>P2hD</t>
  </si>
  <si>
    <t>Mean</t>
  </si>
  <si>
    <t>prototype</t>
  </si>
  <si>
    <t>P3hW</t>
  </si>
  <si>
    <t>n_top_changed</t>
  </si>
  <si>
    <t>P3hD</t>
  </si>
  <si>
    <t>pct_changed</t>
  </si>
  <si>
    <t>mean_rank_shift</t>
  </si>
  <si>
    <t>median_rank_shift</t>
  </si>
  <si>
    <t>mean_difficulty_hazard</t>
  </si>
  <si>
    <t>median_difficulty_hazard</t>
  </si>
  <si>
    <t>sd_difficulty_hazard</t>
  </si>
  <si>
    <t>Median</t>
  </si>
  <si>
    <t>mean_difficulty_no_hazard</t>
  </si>
  <si>
    <t>median_difficulty_no_hazard</t>
  </si>
  <si>
    <t>sd_difficulty_no_hazard</t>
  </si>
  <si>
    <t>P4hW</t>
  </si>
  <si>
    <t>P4hD</t>
  </si>
  <si>
    <t>Standard deviation</t>
  </si>
  <si>
    <t>id. Response ID</t>
  </si>
  <si>
    <t>P2 (χ²(2) = 32.316, p &lt; .001)</t>
  </si>
  <si>
    <t>Minimum</t>
  </si>
  <si>
    <t>n=113 tot</t>
  </si>
  <si>
    <t>G02Q01[1]. Imagine you were at point 1 and had to reach point 2 by hiking. Which route would you take? Please rank the routes.    [Rank 1]</t>
  </si>
  <si>
    <t>78,6</t>
  </si>
  <si>
    <t>2,96</t>
  </si>
  <si>
    <t>G02Q01[2]. Imagine you were at point 1 and had to reach point 2 by hiking. Which route would you take? Please rank the routes.    [Rank 2]</t>
  </si>
  <si>
    <t>2,25</t>
  </si>
  <si>
    <t>Maximum</t>
  </si>
  <si>
    <t>G02Q01[3]. Imagine you were at point 1 and had to reach point 2 by hiking. Which route would you take? Please rank the routes.    [Rank 3]</t>
  </si>
  <si>
    <t>1,03</t>
  </si>
  <si>
    <t>G02Q02. Why did you make this decision?</t>
  </si>
  <si>
    <t>1,64</t>
  </si>
  <si>
    <t>G03Q01[1]. It is late afternoon and you have been hiking the whole day. Right now, you are at point 1. You are trying to reach point 2, a hut where you will sleep tonight. What route would you take? Please rank them. [Rank 1]</t>
  </si>
  <si>
    <t>0,9</t>
  </si>
  <si>
    <t>n=56 complete</t>
  </si>
  <si>
    <t>G03Q01[2]. It is late afternoon and you have been hiking the whole day. Right now, you are at point 1. You are trying to reach point 2, a hut where you will sleep tonight. What route would you take? Please rank them. [Rank 2]</t>
  </si>
  <si>
    <t>73,2</t>
  </si>
  <si>
    <t>G03Q01[3]. It is late afternoon and you have been hiking the whole day. Right now, you are at point 1. You are trying to reach point 2, a hut where you will sleep tonight. What route would you take? Please rank them. [Rank 3]</t>
  </si>
  <si>
    <t>2,82</t>
  </si>
  <si>
    <t>2,41</t>
  </si>
  <si>
    <t>G03Q02. Why did you make this decision?</t>
  </si>
  <si>
    <t>0,99</t>
  </si>
  <si>
    <t>1,57</t>
  </si>
  <si>
    <t>0,81</t>
  </si>
  <si>
    <t>G03Q03. How hard was this task for you (1-5)? (1 = very easy, 5 = very hard)</t>
  </si>
  <si>
    <t>82,1</t>
  </si>
  <si>
    <t xml:space="preserve">Note: on the right, A, B and C indicates 1, 2, 3 based on effort / hazard levels </t>
  </si>
  <si>
    <t>G04Q01[1]. It is late afternoon and you have been hiking the whole day. Right now, you are at point 1. You are trying to reach point 2, a hut where you will sleep tonight. What route would you take? Please rank the routes.  [Rank 1]</t>
  </si>
  <si>
    <t>2,29</t>
  </si>
  <si>
    <t>G04Q01[2]. It is late afternoon and you have been hiking the whole day. Right now, you are at point 1. You are trying to reach point 2, a hut where you will sleep tonight. What route would you take? Please rank the routes.  [Rank 2]</t>
  </si>
  <si>
    <t>0,93</t>
  </si>
  <si>
    <t>1,7</t>
  </si>
  <si>
    <t>P3 (χ²(2) = 47.000, p &lt; .001)</t>
  </si>
  <si>
    <t>0,95</t>
  </si>
  <si>
    <t>G04Q01[3]. It is late afternoon and you have been hiking the whole day. Right now, you are at point 1. You are trying to reach point 2, a hut where you will sleep tonight. What route would you take? Please rank the routes.  [Rank 3]</t>
  </si>
  <si>
    <t>and not the actual A, B, C routes.</t>
  </si>
  <si>
    <t>80,4</t>
  </si>
  <si>
    <t>2,86</t>
  </si>
  <si>
    <t>G04Q02. Why did you make this decision?</t>
  </si>
  <si>
    <t>2,32</t>
  </si>
  <si>
    <t>G04Q03. How hard was this task for you (1-5)? (1 = very easy, 5 = very hard)</t>
  </si>
  <si>
    <t>1,62</t>
  </si>
  <si>
    <t>0,82</t>
  </si>
  <si>
    <t>G05Q01[1]. It is late afternoon and you have been hiking the whole day. Right now, you are at point 1. You are trying to reach point 2, a hut where you will sleep tonight. What route would you take? Please rank the routes.  [Rank 1]</t>
  </si>
  <si>
    <t>No hazard information</t>
  </si>
  <si>
    <t>G05Q01[2]. It is late afternoon and you have been hiking the whole day. Right now, you are at point 1. You are trying to reach point 2, a hut where you will sleep tonight. What route would you take? Please rank the routes.  [Rank 2]</t>
  </si>
  <si>
    <t>FIRST CHOICES</t>
  </si>
  <si>
    <t>No-hazard, 2nd choice</t>
  </si>
  <si>
    <t>G05Q01[3]. It is late afternoon and you have been hiking the whole day. Right now, you are at point 1. You are trying to reach point 2, a hut where you will sleep tonight. What route would you take? Please rank the routes.  [Rank 3]</t>
  </si>
  <si>
    <t>G05Q02. Why did you make this decision?</t>
  </si>
  <si>
    <t>G05Q03. How hard was this task for you (1-5)? (1 = very easy, 5 = very hard)</t>
  </si>
  <si>
    <t>P4 (χ²(2) = 40.343, p &lt; .001)</t>
  </si>
  <si>
    <t>G06Q01[1]. It is late afternoon and you have been hiking the whole day. Right now, you are at point 1. You are trying to reach point 2, a hut where you will sleep tonight. What route would you take? Please rank the routes.  [Rank 1]</t>
  </si>
  <si>
    <t>G06Q01[2]. It is late afternoon and you have been hiking the whole day. Right now, you are at point 1. You are trying to reach point 2, a hut where you will sleep tonight. What route would you take? Please rank the routes.  [Rank 2]</t>
  </si>
  <si>
    <t>Route A</t>
  </si>
  <si>
    <t>G06Q01[3]. It is late afternoon and you have been hiking the whole day. Right now, you are at point 1. You are trying to reach point 2, a hut where you will sleep tonight. What route would you take? Please rank the routes.  [Rank 3]</t>
  </si>
  <si>
    <t>Route B</t>
  </si>
  <si>
    <t>Route C</t>
  </si>
  <si>
    <t>G06Q02. Why did you make this decision?</t>
  </si>
  <si>
    <t>G06Q03. How hard was this task for you (1-5)? (1 = very easy, 5 = very hard)</t>
  </si>
  <si>
    <t>G07Q01[1]. It is late afternoon and you have been hiking the whole day. Right now, you are at point 1. You are trying to reach point 2, a hut where you will sleep tonight. What route would you take? Please rank the routes.  [Rank 1]</t>
  </si>
  <si>
    <t>P1 (hue)</t>
  </si>
  <si>
    <t>0 (0.0%)</t>
  </si>
  <si>
    <t>54 (96.4%)</t>
  </si>
  <si>
    <t>G07Q01[2]. It is late afternoon and you have been hiking the whole day. Right now, you are at point 1. You are trying to reach point 2, a hut where you will sleep tonight. What route would you take? Please rank the routes.  [Rank 2]</t>
  </si>
  <si>
    <t>G07Q01[3]. It is late afternoon and you have been hiking the whole day. Right now, you are at point 1. You are trying to reach point 2, a hut where you will sleep tonight. What route would you take? Please rank the routes.  [Rank 3]</t>
  </si>
  <si>
    <t>2 (3.6%)</t>
  </si>
  <si>
    <t>38 (67.9%)</t>
  </si>
  <si>
    <t>G07Q02. Why did you make this decision?</t>
  </si>
  <si>
    <t>1 (1.8%)</t>
  </si>
  <si>
    <t>17 (30.4%)</t>
  </si>
  <si>
    <t>G07Q03. How hard was this task for you (1-5)? (1 = very easy, 5 = very hard)</t>
  </si>
  <si>
    <t>P2 (shape)</t>
  </si>
  <si>
    <t>G08Q01[1]. It is late afternoon and you have been hiking the whole day. Right now, you are at point 1. You are trying to reach point 2, a hut where you will sleep tonight. What route would you take? Please rank the routes. [Rank 1]</t>
  </si>
  <si>
    <t>11 (19.6%)</t>
  </si>
  <si>
    <t>43 (76.8%)</t>
  </si>
  <si>
    <t>G08Q01[2]. It is late afternoon and you have been hiking the whole day. Right now, you are at point 1. You are trying to reach point 2, a hut where you will sleep tonight. What route would you take? Please rank the routes. [Rank 2]</t>
  </si>
  <si>
    <t>7 (12.5%)</t>
  </si>
  <si>
    <t>G08Q01[3]. It is late afternoon and you have been hiking the whole day. Right now, you are at point 1. You are trying to reach point 2, a hut where you will sleep tonight. What route would you take? Please rank the routes. [Rank 3]</t>
  </si>
  <si>
    <t>40 (71.4%)</t>
  </si>
  <si>
    <t>9 (16.1%)</t>
  </si>
  <si>
    <t>G08Q02. Why did you make this decision?</t>
  </si>
  <si>
    <t>P3 (value)</t>
  </si>
  <si>
    <t>51 (91.1%)</t>
  </si>
  <si>
    <t>G08Q03. How hard was this task for you (1-5)? (1 = very easy, 5 = very hard)</t>
  </si>
  <si>
    <t>5 (8.9%)</t>
  </si>
  <si>
    <t>G09Q01[1]. It is late afternoon and you have been hiking the whole day. Right now, you are at point 1. You are trying to reach point 2, a hut where you will sleep tonight. What route would you take? Please rank the routes. [Rank 1]</t>
  </si>
  <si>
    <t>4 (7.1%)</t>
  </si>
  <si>
    <t>46 (82.1%)</t>
  </si>
  <si>
    <t>6 (10.7%)</t>
  </si>
  <si>
    <t>G09Q01[2]. It is late afternoon and you have been hiking the whole day. Right now, you are at point 1. You are trying to reach point 2, a hut where you will sleep tonight. What route would you take? Please rank the routes. [Rank 2]</t>
  </si>
  <si>
    <t>G09Q01[3]. It is late afternoon and you have been hiking the whole day. Right now, you are at point 1. You are trying to reach point 2, a hut where you will sleep tonight. What route would you take? Please rank the routes. [Rank 3]</t>
  </si>
  <si>
    <t>P4 (texture)</t>
  </si>
  <si>
    <t>50 (89.3%)</t>
  </si>
  <si>
    <t>G09Q02. Why did you make this decision?</t>
  </si>
  <si>
    <t>Rank shift</t>
  </si>
  <si>
    <t>G09Q03. How hard was this task for you (1-5)? (1 = very easy, 5 = very hard)</t>
  </si>
  <si>
    <t>Significance of rank shift</t>
  </si>
  <si>
    <t>45 (80.4%)</t>
  </si>
  <si>
    <t>G10Q01[1]. It is late afternoon and you have been hiking the whole day. Right now, you are at point 1. You are trying to reach point 2, a hut where you will sleep tonight. What route would you take? Please rank the routes.  [Rank 1]</t>
  </si>
  <si>
    <t>Hazard information</t>
  </si>
  <si>
    <t>G10Q01[2]. It is late afternoon and you have been hiking the whole day. Right now, you are at point 1. You are trying to reach point 2, a hut where you will sleep tonight. What route would you take? Please rank the routes.  [Rank 2]</t>
  </si>
  <si>
    <t>n</t>
  </si>
  <si>
    <t>SD</t>
  </si>
  <si>
    <t>G10Q01[3]. It is late afternoon and you have been hiking the whole day. Right now, you are at point 1. You are trying to reach point 2, a hut where you will sleep tonight. What route would you take? Please rank the routes.  [Rank 3]</t>
  </si>
  <si>
    <t>Hazard, 2nd choice</t>
  </si>
  <si>
    <t>One Sample T-Test</t>
  </si>
  <si>
    <t>G10Q02. Why did you make this decision?</t>
  </si>
  <si>
    <t>G10Q03. How hard was this task for you (1-5)? (1 = very easy, 5 = very hard)</t>
  </si>
  <si>
    <t>startdate. Date started</t>
  </si>
  <si>
    <t>datestamp. Date last action</t>
  </si>
  <si>
    <t>AO03</t>
  </si>
  <si>
    <t>AO02</t>
  </si>
  <si>
    <t>Statistic</t>
  </si>
  <si>
    <t>AO01</t>
  </si>
  <si>
    <t>Because I am usually hiking with a kid, so the flatter the better, fewer problems with fall, more opportunities to play, easier on the brain</t>
  </si>
  <si>
    <t>Effect Size</t>
  </si>
  <si>
    <t>25 (44.6%)</t>
  </si>
  <si>
    <t>10 (17.9%)</t>
  </si>
  <si>
    <t>21 (37.5%)</t>
  </si>
  <si>
    <t>P1_rank_shift</t>
  </si>
  <si>
    <t>22 (39.3%)</t>
  </si>
  <si>
    <t>Wilcoxon W</t>
  </si>
  <si>
    <t>15 (26.8%)</t>
  </si>
  <si>
    <t>Just 1 climb up, rather than reaching the peak and going down again</t>
  </si>
  <si>
    <t>19 (33.9%)</t>
  </si>
  <si>
    <t>Rank biserial correlation</t>
  </si>
  <si>
    <t>14 (25.0%)</t>
  </si>
  <si>
    <t>33 (58.9%)</t>
  </si>
  <si>
    <t>fastest, considering that i still have enought energy to stay alert. Otherwise i would table route B and get an emergency shelter in the flat area if i do not manage the hike up. Route B would probably be my decision with a kid along.</t>
  </si>
  <si>
    <t>P2_rank_shift</t>
  </si>
  <si>
    <t>18 (32.1%)</t>
  </si>
  <si>
    <t>28 (50.0%)</t>
  </si>
  <si>
    <t>route A seems the most direct. Route C is way too long, and i do not want to do the final climb at the end</t>
  </si>
  <si>
    <t>8 (14.3%)</t>
  </si>
  <si>
    <t>39 (69.6%)</t>
  </si>
  <si>
    <t>P3_rank_shift</t>
  </si>
  <si>
    <t>12 (21.4%)</t>
  </si>
  <si>
    <t>29 (51.8%)</t>
  </si>
  <si>
    <t>Comparison with baseline</t>
  </si>
  <si>
    <t>seems easier, i also prefer vegetative areas</t>
  </si>
  <si>
    <t>FIRST CHOICE</t>
  </si>
  <si>
    <t>P4_rank_shift</t>
  </si>
  <si>
    <t>Wilcoxon paired t-test</t>
  </si>
  <si>
    <t>Route</t>
  </si>
  <si>
    <t>I would think that there was a mistake on danger of rockfall on route B because there are no rocks around and it is in the valley, and route A which is just above, does not have any danger. So i would firstly take A, as a second option I would check out B and in case of danger cut out to A</t>
  </si>
  <si>
    <t>Mean rank (n)</t>
  </si>
  <si>
    <t>Mean rank (h)</t>
  </si>
  <si>
    <t>No-hazard, by effort rank</t>
  </si>
  <si>
    <t>W</t>
  </si>
  <si>
    <t>Hazard, by hazard rank (first choice)</t>
  </si>
  <si>
    <t>EL1 (easiest)</t>
  </si>
  <si>
    <t>EL2 (medium)</t>
  </si>
  <si>
    <t>EL3 (hardest)</t>
  </si>
  <si>
    <t>HL1 (safest)</t>
  </si>
  <si>
    <t>HL2 (medium)</t>
  </si>
  <si>
    <t>HL3 (most dangerous)</t>
  </si>
  <si>
    <t>avoiding rock fall danger</t>
  </si>
  <si>
    <t>I would take the risk because it is late in the afternoon. probably call the refugio first. Otherwise the long one</t>
  </si>
  <si>
    <t>definitely uncomfortable with route A. I prefer avoiding any kind of risk</t>
  </si>
  <si>
    <t>Lookup table v2</t>
  </si>
  <si>
    <t>Key</t>
  </si>
  <si>
    <t>Not that much elevation change</t>
  </si>
  <si>
    <t>EffortLevel</t>
  </si>
  <si>
    <t>HazardLevel</t>
  </si>
  <si>
    <t>Shorter , less elevation change</t>
  </si>
  <si>
    <t>P1A</t>
  </si>
  <si>
    <t>Less elevation change</t>
  </si>
  <si>
    <t>Mean rank (no-hazard)</t>
  </si>
  <si>
    <t>Mean rank (hazard)</t>
  </si>
  <si>
    <t>Shortcut (EL1/HL3)</t>
  </si>
  <si>
    <t>P1B</t>
  </si>
  <si>
    <t>Moderate (EL2/HL2)</t>
  </si>
  <si>
    <t>Safe (EL3/HL1)</t>
  </si>
  <si>
    <t>P1C</t>
  </si>
  <si>
    <t>Shorter and less evaluation change</t>
  </si>
  <si>
    <t>Shorter, not A because the path has many turns</t>
  </si>
  <si>
    <t>P2A</t>
  </si>
  <si>
    <t>Shorter</t>
  </si>
  <si>
    <t>P2B</t>
  </si>
  <si>
    <t>P2C</t>
  </si>
  <si>
    <t>A looks dangerous now, B is shorter than C</t>
  </si>
  <si>
    <t>P3A</t>
  </si>
  <si>
    <t>Shorter, less elavation change in comparison with C</t>
  </si>
  <si>
    <t>P3B</t>
  </si>
  <si>
    <t>Fastest one</t>
  </si>
  <si>
    <t>Fastest and less elevation gain</t>
  </si>
  <si>
    <t>P3C</t>
  </si>
  <si>
    <t>Shortest route after a long hiking day</t>
  </si>
  <si>
    <t>P4A</t>
  </si>
  <si>
    <t>P4B</t>
  </si>
  <si>
    <t>Less elevation gain and just half of km more</t>
  </si>
  <si>
    <t>P4C</t>
  </si>
  <si>
    <t>C is too complex</t>
  </si>
  <si>
    <t>Just a short part of the trail with a rockfall danger</t>
  </si>
  <si>
    <t>If you go outdoors for a hike, you must take this into consideration.</t>
  </si>
  <si>
    <t>Dark red caught my attention more. So, some extra km won't hurt</t>
  </si>
  <si>
    <t>Even though the A is the shortest one, it has a bigger probability of rockfall. So, it's better safe than sorry</t>
  </si>
  <si>
    <t>It looks like it is mostly on a ridge so the view would be nice and there is less vertical compared to the other options.</t>
  </si>
  <si>
    <t>Shortest choice</t>
  </si>
  <si>
    <t>I chose the shortest option</t>
  </si>
  <si>
    <t>Shortest</t>
  </si>
  <si>
    <t>shortest</t>
  </si>
  <si>
    <t>compromise between rock fall danger and distance. again, hard to realistically choose without more context.</t>
  </si>
  <si>
    <t>Rock fall warning. Hard to adjust planning without more context.</t>
  </si>
  <si>
    <t>Avoid rock fall danger. As before, I would want additional information before actually making this choice.</t>
  </si>
  <si>
    <t>compromise between avoiding the rock fall and distance.</t>
  </si>
  <si>
    <t>Route seems to be less exhausting and saver.</t>
  </si>
  <si>
    <t>Route follows a valley and seems to be less exhausting.</t>
  </si>
  <si>
    <t>Route is shorter! Preferred if the route is safe...</t>
  </si>
  <si>
    <t>Less altitude to climb, and route touches a lake.</t>
  </si>
  <si>
    <t>Route is shorter and meters to climb are less.</t>
  </si>
  <si>
    <t>b has a long stretch of rock fall. A has a short stretch of rockfall but is steep. C is better.</t>
  </si>
  <si>
    <t>Rockfall risk seems to be acceptabele. Too high in the upper route!</t>
  </si>
  <si>
    <t>Here I might accept a short stretch of high risk. Simply because the tour is much shorter.</t>
  </si>
  <si>
    <t>If I am tired I might accept a mild risk of rockfall.</t>
  </si>
  <si>
    <t>It's the fastest route, even though it's a bit steep.</t>
  </si>
  <si>
    <t>I want arrive as soon as possible to the hut</t>
  </si>
  <si>
    <t>I want arrive to the hut as soon as possible</t>
  </si>
  <si>
    <t>The path is flat and there is a lake on the route.</t>
  </si>
  <si>
    <t>I am willing to face the risk of falling rocks just to get there first.</t>
  </si>
  <si>
    <t>Route C is too much dangerouse; I prefer route less dangerous and not too long</t>
  </si>
  <si>
    <t>I want arrive as sonn as possible to the hut, Route B is safer but too long.</t>
  </si>
  <si>
    <t>The likelihood of rockfall is too much on route A; I prefer B, it's longer but safer</t>
  </si>
  <si>
    <t>Because it was the shortest route</t>
  </si>
  <si>
    <t>Because it had the least amount of elevation</t>
  </si>
  <si>
    <t>Because I want to be there fast but also don't have to high risk of rockfall.</t>
  </si>
  <si>
    <t>Because there was to high risk at route A and the route C was to long</t>
  </si>
  <si>
    <t>On route B there is not to much rockfall risk and it is the shortest</t>
  </si>
  <si>
    <t>c had the least height difference, maybe the best views of the valley. A has the most and looks like the longest route.</t>
  </si>
  <si>
    <t>B' has less height difference and goes by the river, which I'd enjoy walking by. 'A' looks like it could have great views.</t>
  </si>
  <si>
    <t>Even though 'C' could have cool views, it doesnt have a lot of ridges, b is closer to the river an the mid route</t>
  </si>
  <si>
    <t>If I have energy, 'A' would be great, great views and relatively quick. 'B' looks to be the fastest route. 'C' looks like the longest.</t>
  </si>
  <si>
    <t>A' can have cooler views. 'B' is second fastest</t>
  </si>
  <si>
    <t>I would still try A, since the danger area is not so long and then c. b looks too dangerous</t>
  </si>
  <si>
    <t>c looks too dangerous, b has a little risk as a specific point, being careful, most likely nothing would happen. A look to be the second best option even though its the longest and has the most height difference</t>
  </si>
  <si>
    <t>Descriptives</t>
  </si>
  <si>
    <t>B is the middle length, even though it has a little risk. A has the highest risk, but the views must be great. C is the longest. Also, I'm not sure what 'high risk' means here, in terms of probability.</t>
  </si>
  <si>
    <t>A looks too risky, b has a smaller danger area, but its still short and c may be too long but it's the safest</t>
  </si>
  <si>
    <t>I wanted to pass near to the river, but tour A has too much different in height</t>
  </si>
  <si>
    <t>Note, the numbers are all different because some answers were incomplete.</t>
  </si>
  <si>
    <t>A makes me suppose that the height is lost and gained too quickly, while B is shorter</t>
  </si>
  <si>
    <t>I am tired, so i want to minimize efforts</t>
  </si>
  <si>
    <t>A is a little bit longer than B, but is still convenient in terms of height</t>
  </si>
  <si>
    <t>Since I am tired, i would like to safeguard my energies</t>
  </si>
  <si>
    <t>A seems to have a good balance between shortness and hazard.</t>
  </si>
  <si>
    <t>A long part of the C trail is threatened by rock danger, so I will exclude it, while B has just a little point</t>
  </si>
  <si>
    <t>Shapiro-Wilk W</t>
  </si>
  <si>
    <t>Now, A has a little endangered area, but with high risk, I will prefer a route where risk is more distributed.</t>
  </si>
  <si>
    <t>Shapiro-Wilk p</t>
  </si>
  <si>
    <t>In this case, the length of C is comparable with the other two routes, which are more dangerous...</t>
  </si>
  <si>
    <t>Paired Samples T-Test</t>
  </si>
  <si>
    <t>Nice hike with some elevational meters and not too long</t>
  </si>
  <si>
    <t>Want to get home fast and safe</t>
  </si>
  <si>
    <t>82.0ᵃ</t>
  </si>
  <si>
    <t>48.0ᵇ</t>
  </si>
  <si>
    <t>45.5ᵈ</t>
  </si>
  <si>
    <t>27.0ᵃ</t>
  </si>
  <si>
    <t>Want to get home safe</t>
  </si>
  <si>
    <t>Want to get home, but not want to make a hughe detour..</t>
  </si>
  <si>
    <t>Want to get home without a big detour</t>
  </si>
  <si>
    <t>Route C has the least elevation.</t>
  </si>
  <si>
    <t>Route B gets me to the hut fastest with the least fatigue and likely lowest injury risk.</t>
  </si>
  <si>
    <t>Route C gets me to the hut fastest with the least fatigue and likely lowest injury risk.</t>
  </si>
  <si>
    <t>Route A gets me to the hut fastest with the least fatigue and likely lowest injury risk.</t>
  </si>
  <si>
    <t>Route A has the least elevation gain and the shortest distance, so since it’ll be late in the evening, the priority is to reach the hut as quickly as possible without overexerting myself while also reducing the risk of injury after a full day of hiking.</t>
  </si>
  <si>
    <t>Route C is objectively the hardest option, but the risk of rockfall on the other two routes is too high.</t>
  </si>
  <si>
    <t>Staying on the ridge ist most of the time more beautiful and with regards to rockfall also safer.</t>
  </si>
  <si>
    <t>again</t>
  </si>
  <si>
    <t>shortest way
 it's a "Höhenweg" - so more beautiful as going down all the way to the valley and then back up again ;)</t>
  </si>
  <si>
    <t>same</t>
  </si>
  <si>
    <t>again: shortest way</t>
  </si>
  <si>
    <t>i don't want to be in this rockfall-exposed valley for such a long distance...</t>
  </si>
  <si>
    <t>again: before making a decision i'd try to get further information about the current situation.</t>
  </si>
  <si>
    <t>It strongly depends on the likelyhood. I'd try to get further information about the rockfall situation before I want to make a desicion. if the likelyhood is comparable to "grand couloir" I'd rather also go the longest way. if it is not that serious I'd think longer about really taking another route - also because the affected area is not so big.</t>
  </si>
  <si>
    <t>I'd rather reach the hut later at night than never ever again reaching a hut.</t>
  </si>
  <si>
    <t>Route C makes the most sense, it’s safe and effective because you are hiking on almost same elevation. A and B maybe are shorter but they are silly bc you are first dropping elevation so rapidly (not good for knees AND the rockfall of it all makes it worse), but then you are hiking up for another half kilometer, it’s a crazy route to do to get to the destination. IMO</t>
  </si>
  <si>
    <t>Ok this one a bit more tricky, but this is my train of thought. I think route A through the mountain is just absolutely wild, hard physically, not safe either and just doesn’t make any sense. Then B is a bit better maybe, but then you are in the middle of the rockfall zone. Route C in contrast is on the other side of the river, and slightly up from the lowest valley point, so rocks cannot get to you. It may be the longest route, but it’s the nicest. and it’s nice to come to the river after a whole day of hike, wash up a bit and then go up to camp hehe</t>
  </si>
  <si>
    <t>Same reason as in the test task. Why would i drop elevation, then make a huge detour, expose myself to the dangerous slope, and then go in the river valley where all the rocks will fall on my head. I’d rather just keep going on the ridge and then just a small descent to the hut and call it a day.</t>
  </si>
  <si>
    <t>A is the most stable in terms of elevation, same logic as before, just try to stay on the same isolines and slowly make your way. Route C is just insane long, and why would you go so far and then have an insane ascent at the end and die on that hill (literally). B is v dangerous, there’s massive ascents and descents through multiple ridges, it’s not very good option.</t>
  </si>
  <si>
    <t>Sorry i’m starting to have survey fatigue haha. How many maps are left? Anyways. I think C is the safest because of the same logic as before.</t>
  </si>
  <si>
    <t>Just chose the one without red lines</t>
  </si>
  <si>
    <t>Same logic as before</t>
  </si>
  <si>
    <t>this survey is so long omg. girl idk hahaha i just chose by intuition now i guess where the red color is not too intense.</t>
  </si>
  <si>
    <t>Idk</t>
  </si>
  <si>
    <t>elevation change</t>
  </si>
  <si>
    <t>length and elevation change</t>
  </si>
  <si>
    <t>elevation and route length</t>
  </si>
  <si>
    <t>c is longer but no rockfall and the elevation change is much less over time- those switch backs in A look frustrating</t>
  </si>
  <si>
    <t>c although shorter has a long stretch of rockfall danger. b is shorter than a and only has a blip of rockfall</t>
  </si>
  <si>
    <t>length of route- a has high chance of rockfall but is way shorter so i’ll just zoom past that section</t>
  </si>
  <si>
    <t>b is medium for length elevation and rock fall hazard</t>
  </si>
  <si>
    <t>Route B looked the shortest, so I prioritized it. While Route A was slightly shorter than C, it looked to have a lot of elevation change, so I ranked it last.</t>
  </si>
  <si>
    <t>The route I chose was shortest and had the least elevation change</t>
  </si>
  <si>
    <t>Route C seemed most direct with little change in elevation. The next one I ranked was much shorter than the last.</t>
  </si>
  <si>
    <t>Route A was slightly longer, but the elevation change was much less than the others--which is important after a long day. The next choice was much shorter than the last.</t>
  </si>
  <si>
    <t>The route I chose was shorter and had the least elevation change.</t>
  </si>
  <si>
    <t>Realistically, at the end of the day, I would choose the much shorter route. I also feel I do not understand the relative risk of "rockfall danger" when presented this way.</t>
  </si>
  <si>
    <t>I chose B because it was shorter than C and danger seemed comparatively moderate, however, the bolded line does not give me much information to relative risk. B was much shorter than A still.</t>
  </si>
  <si>
    <t>Route A seemed like a dangerous choice, because of the high likelihood of rock fall. My choice had low likelihood, which is tolerable, but was still much shorter than the last option.</t>
  </si>
  <si>
    <t>Although B was longer, the likelihood of rockfall was less--which I suppose is important to safety. The next choice had no likelihood, but was much longer.</t>
  </si>
  <si>
    <t>Examined the elevations. Despite longer travel distance, the smaller elevation changes make it an easier journey. Also, path C avoids having to ford any rivers.</t>
  </si>
  <si>
    <t>Path A is significant uphill climbs compared to the more gentle slope paths of B and C</t>
  </si>
  <si>
    <t>Compromise= explicit trade-off between hazard and effort/length/time</t>
  </si>
  <si>
    <t>Although B is shorter, it is nearly a 3x increase in climbing then A</t>
  </si>
  <si>
    <t>Confusion = explicitly stated confusion or informational gap in the visualisation</t>
  </si>
  <si>
    <t>Avoiding rockfalls is priority, A &gt; B due to a smaller stretch of treacherous terrain.</t>
  </si>
  <si>
    <t>Geometry = route choice is made based on the route geometry (length or steepness)</t>
  </si>
  <si>
    <t>Landscape = route choice depends on factors tied to the surroundings or the aesthetic context of the route; this might be the route passing through a ridgeline, by a lake or being at a certain altitude.</t>
  </si>
  <si>
    <t>Despite easier climbs, avoiding areas of high danger is my priority. Especially since its a "high" likelyhood.</t>
  </si>
  <si>
    <t>NA = not applicable, no reason given</t>
  </si>
  <si>
    <t>Would avoid areas of high danger even if it means a longer travel time.</t>
  </si>
  <si>
    <t>Personal = contextual personal factors (ex. being in a group or alone)</t>
  </si>
  <si>
    <t>Combination of elevation and height information. I would prefer the shortest path with the least extreme elevation changes</t>
  </si>
  <si>
    <t>Risk_acceptance = explicit willingness to accept/take on some risk (reasons might be trust in one’s abilities, time of day, …)</t>
  </si>
  <si>
    <t>To hike the shortest path for the last portion and to hike along the valley and river would be my preference. Otherwise path A since it might offer some nice views.</t>
  </si>
  <si>
    <t>The shortest path (c) seems to go along a steep path , so preference to hike along the valley and only make one steep ascent at the end</t>
  </si>
  <si>
    <t>Safety = safety is the priority; explicit mention of aspects tied to safety, such as the season, the time of day, personal skill level, etc. creating a dimension of vulnerability</t>
  </si>
  <si>
    <t>Preference to hike on the ridge, also since I've been hiking all day, prefer shorter less strenuous path</t>
  </si>
  <si>
    <t>Safety_rockfall = risk avoidance; specific mention of the route being perceived unsafe due to rockfall risk</t>
  </si>
  <si>
    <t>A combination of elevation and length and rather hiking over rock / mountains then through vegetation</t>
  </si>
  <si>
    <t>Time_urgency = time of day and urgency as a driver</t>
  </si>
  <si>
    <t>I would no longer choose path B die to the rockfall danger. I would also be more reluctant to choose part A, because the part with rockfall danger also seems at higher elevation and with a steeper slope.</t>
  </si>
  <si>
    <t>Visualisation = the choice is attributed specifically to the way the risk is depicted (ex. mentions of colours looking scary or serious)</t>
  </si>
  <si>
    <t>Since it is late in the afternoon i would still choose route B, even if there is one danger spot, since the safest route would mean a 3km detour.</t>
  </si>
  <si>
    <t>Even though the danger level for rockfall is quite low, it spans quite a long part of the trail so I would prefer the safest route C. Depending on the circumstances in the field i would potentially consider choosing B instead.</t>
  </si>
  <si>
    <t>Even though the route is a lot longer with higher elevation gain, I would likely still choose route C. If I was very fatigued already I might opt for route B, to be able to arrive at my goal faster.</t>
  </si>
  <si>
    <t>Route A looks way longer but less steep</t>
  </si>
  <si>
    <t>shorter distance and less vertical gain</t>
  </si>
  <si>
    <t>shortest distance and height</t>
  </si>
  <si>
    <t>shorter distance n less vertical gain</t>
  </si>
  <si>
    <t>safest route</t>
  </si>
  <si>
    <t>safest route eventhough the longest</t>
  </si>
  <si>
    <t>shortest route with the low probability rock fall</t>
  </si>
  <si>
    <t>1. eager for sportive activity without exhausting myself, 2. would like to enjoy the landscape</t>
  </si>
  <si>
    <t>Still don't want to risk anything at the end of a long day. But it shouldn't be too steep either.</t>
  </si>
  <si>
    <t>the imagination to first hike downhill and then uphill again at the end of a day is mentally exhausting. So a route at high elevation might be risky, but I think I would feel energized with the hut in sight.</t>
  </si>
  <si>
    <t>I am tired, I don't want to risk anything by long and steep hikes nearly at the end of my hiking day</t>
  </si>
  <si>
    <t>Route C and B might be more beautiful. But I don't want to further exhaust myself at the end of a long day.</t>
  </si>
  <si>
    <t>I could not really tell how risky it actually is to pass the valley. So, it's better to be safe than sorry.</t>
  </si>
  <si>
    <t xml:space="preserve">P1 </t>
  </si>
  <si>
    <t>Might sound stupid, but this is the first time I have wondered how long (for how many meters or km) I would need to pass through at-risk terrain. I therefore chose routes that seemed "shorter" in terms of risk.</t>
  </si>
  <si>
    <t xml:space="preserve">P2 </t>
  </si>
  <si>
    <t>This looks more dangerous than the previous one. But still, I assume I would be more conscious of rockfalls on a shorter, not-too-steep trail that exhausts me physically and therefore mentally.</t>
  </si>
  <si>
    <t xml:space="preserve">P3 </t>
  </si>
  <si>
    <t xml:space="preserve">P4 </t>
  </si>
  <si>
    <t>Actually, I wouldn't like to pass through sites with significant rockfalls. But if I must, I assume that a shorter, less steep trail might help me cross the dangerous sites more quickly, reducing the risk of being hit by a rock fall.</t>
  </si>
  <si>
    <t>P1-h</t>
  </si>
  <si>
    <t>P2-h</t>
  </si>
  <si>
    <t>P3-h</t>
  </si>
  <si>
    <t>Route C has the least elevation gain</t>
  </si>
  <si>
    <t>Route B has the least elevation gain</t>
  </si>
  <si>
    <t>P4-h</t>
  </si>
  <si>
    <t>Route C has the lowest elevation gain and is the shortest route</t>
  </si>
  <si>
    <t>Route A has the least elevation gain</t>
  </si>
  <si>
    <t>Route A is the shortest and has the least elevation gain</t>
  </si>
  <si>
    <t>Since I don’t know how severe the rockfall risk actually is, and I can’t tell whether the red marking is just a general risk indicator or a severity rating, the only sensible option for me is to avoid it completely</t>
  </si>
  <si>
    <t>C is too risky, Route B is the best compromise between rockfall risk and fatigue.</t>
  </si>
  <si>
    <t>Route A is too risky, Route B is the best compromise between rockfall risk and fatigue.</t>
  </si>
  <si>
    <t>Route A is too risky. Route B seems like the best compromise between rockfall risk and fatigue, which is also a serious concern after a full day of hiking</t>
  </si>
  <si>
    <t>C had the least elevation gain therefore for me it would be easier, B was shortest, A had too much elevation gain and was long.</t>
  </si>
  <si>
    <t>It was the shortest with the least elevation gain.</t>
  </si>
  <si>
    <t>Route C was the shortest and had the least elevation gain</t>
  </si>
  <si>
    <t>It was the shortest and had the least elevation gain.</t>
  </si>
  <si>
    <t>Route A was the shortest and had the least elevation gain.</t>
  </si>
  <si>
    <t>The elevation gain of A and C compared to B is too much to make me go with those two instead of route B.</t>
  </si>
  <si>
    <t>Since it is late in the day I would probably go with the shortest route. I do not think the rockfall offsets the extra 250 metres of elevation gain and the 1.5 km of hiking.</t>
  </si>
  <si>
    <t>The likelihood of rockfall on route A is too much for me to feel safe, therefore I would go with route B, while being longer/having more elevation, since the risk is low I am ok with it. C is too long.</t>
  </si>
  <si>
    <t>Similar to before, the risk in route A is too high. I think B is a nice option. C is too long.</t>
  </si>
  <si>
    <t>In order not to desend and then have to go up again</t>
  </si>
  <si>
    <t>Shorter route and less altitude to make</t>
  </si>
  <si>
    <t>Shorter and less altitude to make</t>
  </si>
  <si>
    <t>Avoding rock fall danger...</t>
  </si>
  <si>
    <t>Route B only a short risk
 Route A, long but all safe
 Route C, risk to high and long.</t>
  </si>
  <si>
    <t>Route B with low likelihood of rockfall
 Route A shortert, but with high risk
 Route C is too long</t>
  </si>
  <si>
    <t>Best route B with short part with medium and low risk of rockfall, second route C, without risk of rockfall, but longer</t>
  </si>
  <si>
    <t>Because on the map it´s a rather save route, with a longer distance but less vertical meters. Also because I don´t have to walk down and up again.</t>
  </si>
  <si>
    <t>B in my opinion is the best track, because there are just a few vertical meters and the distance is ok. It also doesn´t lead through rocky terrain, like A. A would be my second choice because of the distance and vertical meters.</t>
  </si>
  <si>
    <t>Track A is too long. Track B and C would be ok. I would rather take the shorter track, although it leads through rocky terrain.</t>
  </si>
  <si>
    <t>A is the shortest track to point 2. And like track B it leads through rocky terrain most of the time. C is too long, if I walked around the whole day already.</t>
  </si>
  <si>
    <t>A is the shortest track and the best choice, even through rocky terrain. C is too long.</t>
  </si>
  <si>
    <t>In terms of risk, Route A is still manageable, and the distance is fine. Route B would be my last choice because I would be spending a long time in a high-risk area. Route C is long, admittedly, but completely risk-free.</t>
  </si>
  <si>
    <t>In terms of risk, B is still manageable. Track A would be the second choice because I can do it without any risky spots; it’s long, but safe. Track C would be too risky for me, as it involves several risky spots.</t>
  </si>
  <si>
    <t>C is too long. In terms of risk, B is still manageable, and that section can be crossed quickly. A involves spending a long time in a high-risk area and it ranks second. It is despite better than the very long route C in my opinion.</t>
  </si>
  <si>
    <t>In terms of risk, Track B is still manageable. Track A would be the second choice, because Track C is simply too long after a full day.</t>
  </si>
  <si>
    <t>perchè apparentemente il sentiero è più piatto</t>
  </si>
  <si>
    <t>sempre in base alla lunghezza/altimetria dei percorsi</t>
  </si>
  <si>
    <t>perchè ho escluso il sentiero di cresta,e scelto tra i due più conservativi quello più corto</t>
  </si>
  <si>
    <t>perchè il secondo percorso ancorchè più breve mi parrebbe più impegnativo,il terzo è troppo lungo dopo una mezza giornata che cammino</t>
  </si>
  <si>
    <t>in base alle diverse lunghezze/altimetrie,ho scelto la più breve,meno impegnativa</t>
  </si>
  <si>
    <t>sono stanco ,anche se il percorso su cui ricade la prima scelta è il più a rischio caduta massi,nondimeno è il più breve</t>
  </si>
  <si>
    <t>ho scelto il percorso più favorevole secondo i parametri plano altimetrici e di lunghezza e rischio</t>
  </si>
  <si>
    <t>ho scelto il compromesso migliore per lunhezza/altimetria e rischio caduta massi</t>
  </si>
  <si>
    <t>sempre per compromesso,la A è quella relativamente più breve /piatta,anche se con profilo di rischio non esente</t>
  </si>
  <si>
    <t>C had the lowest elevation change and was only a little longer. I'd also imagine the views would be better</t>
  </si>
  <si>
    <t>shortest distance and lwoest elevation gain</t>
  </si>
  <si>
    <t>I would want to be at a lower elevation if it is getting dark. Would rather be in the valley for shelter and safety</t>
  </si>
  <si>
    <t>although c looked fine i wouldnt want that climb at the ery end if the walk late in the day so would prefer a more direct route</t>
  </si>
  <si>
    <t>B seemed to be the best comprimise between directness whilst also providing shelter and water opporunities should I need to wild camp if it got too dark. Wasnt as exposed as up on the hill for late at night</t>
  </si>
  <si>
    <t>I would minimise rockfall risk</t>
  </si>
  <si>
    <t>high elevation suddenly looked very dangerous but my preferred route only had one risky point which, comparatively, doesn't seem too bad</t>
  </si>
  <si>
    <t>if the weather was dodgy i would have swapped my 2nd and 3rd choices around but the 1st choice is head and shoulders above them all</t>
  </si>
  <si>
    <t>I would take the risk, the dots look like a pattern fill on hiking maps already</t>
  </si>
  <si>
    <t>Rather follow the ridge than lose all of that height and have to climb up again</t>
  </si>
  <si>
    <t>Shortest route with least ascent</t>
  </si>
  <si>
    <t>Shortest route, least ascent</t>
  </si>
  <si>
    <t>Assuming the line through the lake is an error, following the ridge is slightly longer but has much less ascent so would likely be quicker</t>
  </si>
  <si>
    <t>In good weather I'd probably still take the risk along the shorter route, especially after a long day. If it were earlier in the day or the weather was bad I'd reconsider.</t>
  </si>
  <si>
    <t>Split the difference - low risk and medium distance is preferable to high risk and short distance or no risk and furthest distance</t>
  </si>
  <si>
    <t>Again, in fair weather I'd be more likely to take the risk of the shorter, more dangerous route</t>
  </si>
  <si>
    <t>In all likelihood I would try and adapt route A and cross lower down the valley where the risk is lower but since that isn't an option I'll take the long way round!</t>
  </si>
  <si>
    <t>I like going uphill and have a view</t>
  </si>
  <si>
    <t>No steep ascent in the end</t>
  </si>
  <si>
    <t>Coding(P0)</t>
  </si>
  <si>
    <t>Only one river crossing or none at option 1</t>
  </si>
  <si>
    <t>P1n</t>
  </si>
  <si>
    <t>Shortest route plus lake</t>
  </si>
  <si>
    <t>P2n</t>
  </si>
  <si>
    <t>P3n</t>
  </si>
  <si>
    <t>P4n</t>
  </si>
  <si>
    <t>P1h</t>
  </si>
  <si>
    <t>P2h</t>
  </si>
  <si>
    <t>P3h</t>
  </si>
  <si>
    <t>P4h</t>
  </si>
  <si>
    <t>Geometry/Effort, landscape</t>
  </si>
  <si>
    <t>Geometry/Effort</t>
  </si>
  <si>
    <t>less climb</t>
  </si>
  <si>
    <t>Geometry/Effort, safety</t>
  </si>
  <si>
    <t>Safety_rockfall; Map_trust</t>
  </si>
  <si>
    <t>Safety_rockfall</t>
  </si>
  <si>
    <t>Risk_acceptance</t>
  </si>
  <si>
    <t>Safety</t>
  </si>
  <si>
    <t>A was the best</t>
  </si>
  <si>
    <t>Safety_rockfall, visualisation</t>
  </si>
  <si>
    <t>Elevation change and steepness</t>
  </si>
  <si>
    <t>Length of the trail and elevation change</t>
  </si>
  <si>
    <t>Length of the route</t>
  </si>
  <si>
    <t>length of the trail and elevation change</t>
  </si>
  <si>
    <t>NA</t>
  </si>
  <si>
    <t>Route B has a long stretch of rockfall danger, but Route C seems quite long and a lot of elevation for late afternoon</t>
  </si>
  <si>
    <t xml:space="preserve">Visualisation </t>
  </si>
  <si>
    <t>Danger on Route B is only short, whereas Route A is quite a bit longer. C has a long stretch of danger in high elevation</t>
  </si>
  <si>
    <t>Don't want to cross high likelihood area, but C is very long</t>
  </si>
  <si>
    <t>Length of route vs. likelihood of rockfall</t>
  </si>
  <si>
    <t>Compromise</t>
  </si>
  <si>
    <t>because it's clever</t>
  </si>
  <si>
    <t>...</t>
  </si>
  <si>
    <t>clever</t>
  </si>
  <si>
    <t>Compromise, risk_acceptance</t>
  </si>
  <si>
    <t>clever clever</t>
  </si>
  <si>
    <t>One or more mandatory questions have not been answered. If possible, please complete them before continuing to the next page.</t>
  </si>
  <si>
    <t>Compromise, safety</t>
  </si>
  <si>
    <t>augen auf, helmi auf</t>
  </si>
  <si>
    <t>It might be more fun to hike the longer route</t>
  </si>
  <si>
    <t>Reaching the cabin as fast as possible</t>
  </si>
  <si>
    <t>Shortest distance and altitude</t>
  </si>
  <si>
    <t>Lowest altitude</t>
  </si>
  <si>
    <t>Shortest distance lowest altitude</t>
  </si>
  <si>
    <t>Safety_rockfall, compromise</t>
  </si>
  <si>
    <t>Compromise, Confusion/Information</t>
  </si>
  <si>
    <t>Faster rout with short risk of rockfall</t>
  </si>
  <si>
    <t>Don't want to take the route with the long rockfall danger but still don't want to take the longest route. The short rockfall passage might be okay</t>
  </si>
  <si>
    <t>Afraid of rockfall</t>
  </si>
  <si>
    <t>Compromise between less altitude and medium risk</t>
  </si>
  <si>
    <t>(c) best view , (a) longest way</t>
  </si>
  <si>
    <t>hsortest rout. the longest route seems to go in the forest. Not so exposed to the sun.</t>
  </si>
  <si>
    <t>it depense on the weather (temp). when i it warmer, near the small reaqver it could be more pleasant</t>
  </si>
  <si>
    <t>distance &amp; heigth</t>
  </si>
  <si>
    <t>Geometry/Effort, compromise</t>
  </si>
  <si>
    <t>shortest way, the seond is not so exposed in the sun</t>
  </si>
  <si>
    <t>not knowing how severe the risk is, i will watch out and go very fast through this area and accept the risk</t>
  </si>
  <si>
    <t>only one pount,, where is a danger is acceptable. ...</t>
  </si>
  <si>
    <t>low risk is acceptable, high risk not</t>
  </si>
  <si>
    <t>G01Q01. How old are you?</t>
  </si>
  <si>
    <t>low short likelihood is acceptable. high likelihood not .</t>
  </si>
  <si>
    <t>Q01Q02. How often do you spend time in the mountains (hiking, climbing, skiing, etc.)?</t>
  </si>
  <si>
    <t>G01Q03. How would you describe your experience using maps?</t>
  </si>
  <si>
    <t>G01Q04[SQ001]. When you're outdoors in the mountains, how do you usually navigate? (Multiple answers are possible, comments are possible) [Paper maps]</t>
  </si>
  <si>
    <t>G01Q04[SQ002]. When you're outdoors in the mountains, how do you usually navigate? (Multiple answers are possible, comments are possible) [Digital maps (ex. phone, apps)]</t>
  </si>
  <si>
    <t>Due to the different slope</t>
  </si>
  <si>
    <t>G01Q04[SQ003]. When you're outdoors in the mountains, how do you usually navigate? (Multiple answers are possible, comments are possible) [GPS devices (ex. Garmin)]</t>
  </si>
  <si>
    <t>G01Q04[SQ004]. When you're outdoors in the mountains, how do you usually navigate? (Multiple answers are possible, comments are possible) [Trail signs]</t>
  </si>
  <si>
    <t>G01Q04[SQ005]. When you're outdoors in the mountains, how do you usually navigate? (Multiple answers are possible, comments are possible) [Following a guide]</t>
  </si>
  <si>
    <t>Lenght and time</t>
  </si>
  <si>
    <t>Dem1</t>
  </si>
  <si>
    <t>Dem2</t>
  </si>
  <si>
    <t>Dem3</t>
  </si>
  <si>
    <t>As before</t>
  </si>
  <si>
    <t>Papermaps</t>
  </si>
  <si>
    <t>Digmaps</t>
  </si>
  <si>
    <t>GPS</t>
  </si>
  <si>
    <t>Trailsigns</t>
  </si>
  <si>
    <t>Guide</t>
  </si>
  <si>
    <t>Confusion/Information</t>
  </si>
  <si>
    <t>41-50</t>
  </si>
  <si>
    <t>Often (several times per month)</t>
  </si>
  <si>
    <t>I love the planning phase looking at maps</t>
  </si>
  <si>
    <t>Yes</t>
  </si>
  <si>
    <t>Avoid taking route B with danger</t>
  </si>
  <si>
    <t>No</t>
  </si>
  <si>
    <t>Geometry/Effort, Safety_rockfall</t>
  </si>
  <si>
    <t>25-30</t>
  </si>
  <si>
    <t>Geometry/Effort, note: survey fatigue</t>
  </si>
  <si>
    <t>Avoid dangerous situation even if the route was longer</t>
  </si>
  <si>
    <t>Familiar with topographic maps</t>
  </si>
  <si>
    <t>Visualisation</t>
  </si>
  <si>
    <t>31-40</t>
  </si>
  <si>
    <t>Maps are visual tools that help you plan your route. Red colors help to alert hikers</t>
  </si>
  <si>
    <t>altitude</t>
  </si>
  <si>
    <t>length and altitude</t>
  </si>
  <si>
    <t>Normal use for mountain recreation and for some work tasks.</t>
  </si>
  <si>
    <t>Over 60</t>
  </si>
  <si>
    <t>I am using maps (analog and digital) for many many years. As well as GPS devices....</t>
  </si>
  <si>
    <t>better safe than sorry. since there is no differentiating of risk intensity, I raked the short bit with risk higher than the long bit with risk</t>
  </si>
  <si>
    <t>Better safe than sorry. Since there is no differentiation of risk intensity, I chose the short way with punctual risk over the one with a larger risky section of the route</t>
  </si>
  <si>
    <t>Geometry/Effort, Confusion/Information</t>
  </si>
  <si>
    <t>51-60</t>
  </si>
  <si>
    <t>better safe than sorry</t>
  </si>
  <si>
    <t>I rarely use maps</t>
  </si>
  <si>
    <t>18-24</t>
  </si>
  <si>
    <t>Better safe than sorry.</t>
  </si>
  <si>
    <t>Very often (weekly or more)</t>
  </si>
  <si>
    <t>Not that experience I use them but that much</t>
  </si>
  <si>
    <t>Rarely (a few times per year)</t>
  </si>
  <si>
    <t>High</t>
  </si>
  <si>
    <t>Perché era la più breve</t>
  </si>
  <si>
    <t>Perché era il percorso più breve e con il minor dislivello</t>
  </si>
  <si>
    <t>I use just digital maps, other maps are crap</t>
  </si>
  <si>
    <t>Perché ha il minor dislivello</t>
  </si>
  <si>
    <t>Occasionally (monthly)</t>
  </si>
  <si>
    <t>Quite ok I would say.</t>
  </si>
  <si>
    <t>Perché era la strada più breve e con il minor dislivello</t>
  </si>
  <si>
    <t>expert</t>
  </si>
  <si>
    <t>Perché abbastanza breve e con rischio moderato</t>
  </si>
  <si>
    <t>Perché abbastanza breve e con un rischio moderato</t>
  </si>
  <si>
    <t>Pretty good, i’m a hiker and a cartographer haha</t>
  </si>
  <si>
    <t>Perché il percorso scelto è abbastanza sicuro</t>
  </si>
  <si>
    <t>Perché il percorso scelto è abbastanza sicuro e breve</t>
  </si>
  <si>
    <t>I am a GIS analyst</t>
  </si>
  <si>
    <t>È il percorso con il minor dislivello</t>
  </si>
  <si>
    <t>È la via più breve e con il minor dislivello</t>
  </si>
  <si>
    <t>Moderate. Usually use an application like AllTrails but not a ton of experience navigating with paper map/atlas</t>
  </si>
  <si>
    <t>È la via con il minor dislivello</t>
  </si>
  <si>
    <t>Generally don't use physical maps unless they are trailside along paths to chart current position. Otherwise use digital navigation tools to assist.</t>
  </si>
  <si>
    <t>È la via con il miglior rapporto lunghezza/pendenza/rischio</t>
  </si>
  <si>
    <t>È la via con il miglior rapporto dislivello/lunghezza/rischio</t>
  </si>
  <si>
    <t>I have a lot of experience with maps (but slightly less so with hiking maps)</t>
  </si>
  <si>
    <t>Safety_rockfall, Confusion/Information</t>
  </si>
  <si>
    <t>everyday using maps, at least google maps.</t>
  </si>
  <si>
    <t>Compromise, Safety_rockfall</t>
  </si>
  <si>
    <t>È la via con migliore rapporto pendenza/difficoltà/rischio</t>
  </si>
  <si>
    <t>Compromise, time_urgency</t>
  </si>
  <si>
    <t>I'm not sure how save route C is, so I decided to take the save routes.</t>
  </si>
  <si>
    <t>Actually, I let others use the maps to tell me what conditions will await me along the route. :-)</t>
  </si>
  <si>
    <t>Same as before</t>
  </si>
  <si>
    <t>The same problem as before. I don't know how safe the ridge walk is, how well-secured the path is. Perhaps I'm exhausted and just want to get there quickly without fear. However, if the path were safe, I would choose route C.</t>
  </si>
  <si>
    <t>Honestly I use Google Maps for pretty much everything, and sometimes Outdooractive for hiking trails. In the mountains, I mostly rely on physical signs and trail markers</t>
  </si>
  <si>
    <t>Same</t>
  </si>
  <si>
    <t>I must honestly say all those maps look very similar to me</t>
  </si>
  <si>
    <t>Digital ones daily. For hiking as well. Paper ones very rarely. I study maps.</t>
  </si>
  <si>
    <t>Maybe I'm very tired today and I'll take the risk.</t>
  </si>
  <si>
    <t>I feel confortable using maps and will considere that I'm experience user of maps</t>
  </si>
  <si>
    <t>Depends on the condition, I would talk to other people about the route with high rock fall, but probably I would decide to take one of the other routes.</t>
  </si>
  <si>
    <t>I use maps during courses and when guiding. I use them to gather necessary information about unfamiliar trails and the like, but I also cross-reference this with digital information.</t>
  </si>
  <si>
    <t>A lower positive elevation gain entails fewer risks of ascending beneath vertical walls.</t>
  </si>
  <si>
    <t>Route B keeps me at a decent altitude, even though it leaves the climb for the end; Route A involves too much elevation gain, even if the approach to the refuge is downhill; and Route C is too long given the time and my fatigue</t>
  </si>
  <si>
    <t>Route C keeps me at a fairly high elevation; Route B goes down first, involves a couple of stream crossings, and then climbs back up, but I don't feel like losing altitude; Route A covers too much distance and involves too many stream crossings.</t>
  </si>
  <si>
    <t>normale</t>
  </si>
  <si>
    <t>Route A has less elevation gain; Route B has a reasonably good ratio of elevation gain to distance; Route C is too long, given that it's late and I'm tired.</t>
  </si>
  <si>
    <t>Route A involves less elevation gain, and I’d get it all out of the way at the start while there’s still daylight; Route B has a reasonably good elevation-to-distance ratio, though the climbing is more spread out; Route C is too long—especially since it’s late and I’m tired—and would require an initial climb, a descent, a river crossing, and then a second climb.</t>
  </si>
  <si>
    <t>I am a cartographer for a hiking map publishing company</t>
  </si>
  <si>
    <t>Geometry/Effort, safety (altitude, light)</t>
  </si>
  <si>
    <t>I know it’s late in the afternoon, but I’m missing the weather data: are thunderstorms on the way? Has it already rained? Was the weather nice all day? Without this weather information, I have to factor in the risk of landslides, so I’m choosing Route C, even though it’s longer and involves more elevation gain.</t>
  </si>
  <si>
    <t>I'm a cartographer, so quite proficient!</t>
  </si>
  <si>
    <t>Compromise, Safety_rockfall, Geometry/Effort</t>
  </si>
  <si>
    <t>Once again: without weather data, I have to consider only the risk of landslides, so I’m choosing Route A, even though it’s longer and involves more elevation gain. I’m leaving Route C for last, partly due to fatigue.</t>
  </si>
  <si>
    <t>Safety, weather</t>
  </si>
  <si>
    <t>Risk_acceptance, visualisation</t>
  </si>
  <si>
    <t>Once again: without weather data, I have to consider only the landslide risk, so I choose Route B because I’m short on time; all in all, however, the dangerous landslide-prone area (the lower section) spans only about 1,000 meters.</t>
  </si>
  <si>
    <t>Once again: without weather data, I have to consider only the landslide risk, so I choose Route B because I am short on time; all in all, however, the area with a moderate landslide risk spans only about 200 meters.</t>
  </si>
  <si>
    <t>very experienced</t>
  </si>
  <si>
    <t>Safety, Time_urgency</t>
  </si>
  <si>
    <t>Route C has lowest elevation gain but in spring there would still be snow on the route. Would take l8nger overall, perhaps not possible. Route A has highest elevation gain, going down a south facing mountain (less snow) an up a noth face (risk of snow). Route B is similar but overall shorter.</t>
  </si>
  <si>
    <t>Quite good (I had a lot of GIS courses during my studies). Often use them for planning my hikes</t>
  </si>
  <si>
    <t>B is shortest and lowest with least elevation, therefore most realistic for late afternoon. Over the mountain would still have snow in spring and would be much harder. C is on the other side of the valley with significant elevation gain. Makes no sense.</t>
  </si>
  <si>
    <t>C seems like a scenic route anf also seems logical. B is good if C has too much snow. A makes no sense.</t>
  </si>
  <si>
    <t>A seems too difficult for spring conditions. C makes no sense.</t>
  </si>
  <si>
    <t>A with the least elevation loss and shortest. Also seems like a scenic route. B goes down to the valley. C makes no sense.</t>
  </si>
  <si>
    <t>I youse it quite often but with the help of risk and slope layers</t>
  </si>
  <si>
    <t>This seems like a very theoretical danger.</t>
  </si>
  <si>
    <t>Rockfall, compromise</t>
  </si>
  <si>
    <t>Just from looking at the map the rockfall signs on the high route don't make much sense. However, assuming there is rockfall and it is not avoidable, there is still snow on the route in spring, I would guess that it is not hikeable. Therfore choose the lower option.</t>
  </si>
  <si>
    <t>i would give me a (2). I navigate with "paper"maps and apps also in umaked Terrain</t>
  </si>
  <si>
    <t>As said before</t>
  </si>
  <si>
    <t>As said before. On route A it is still possible to avoid rockfall by making a small detour.</t>
  </si>
  <si>
    <t>I’m not so good at using it</t>
  </si>
  <si>
    <t>less elevation</t>
  </si>
  <si>
    <t>km and elevation</t>
  </si>
  <si>
    <t>Geographer</t>
  </si>
  <si>
    <t>elevation and km</t>
  </si>
  <si>
    <t>again because of km and elevation</t>
  </si>
  <si>
    <t>Geometry/Effort, safety (weather)</t>
  </si>
  <si>
    <t>Non ho molta dimesticatezza</t>
  </si>
  <si>
    <t>Weather</t>
  </si>
  <si>
    <t>Geometry/Effort, weather</t>
  </si>
  <si>
    <t>km elevation</t>
  </si>
  <si>
    <t>Rockfall, compromise, not knowing level of risk</t>
  </si>
  <si>
    <t>c is not much of a difference km and elevation wise and no rockfall</t>
  </si>
  <si>
    <t>Ottima e divertente</t>
  </si>
  <si>
    <t>rockfall danger is only a short bit for b</t>
  </si>
  <si>
    <t>a too dangerous, c way too long, hoping that b would be kinda safe</t>
  </si>
  <si>
    <t>Medium</t>
  </si>
  <si>
    <t>likelihood is low</t>
  </si>
  <si>
    <t>Safety_rockfall, does not fully understand meaning of rockfall danger here</t>
  </si>
  <si>
    <t>Safety_rockfall length, no danger level</t>
  </si>
  <si>
    <t>I use maps not only for hiking but also to assess the rideability of trails for mountain biking. I think I’m good at gauging elevation changes and gradients, but I’ve never come across maps that highlight landslide-prone areas.</t>
  </si>
  <si>
    <t>C because the inclination is less, Second because the line has more curves and does not use the direct fall line and third at last cause almost no curves and stones can fall in direct line from people above you</t>
  </si>
  <si>
    <t>It is also demotivating to go down and then have to go up again, that's why C is last</t>
  </si>
  <si>
    <t>The least Kms and meters in altitude. Don't know if rockfall is still an important fact to consider. Just from the map I wouldn't know if there's a danger. Need more verbal information</t>
  </si>
  <si>
    <t>I'm alread tired so I take the route with the least Kms and meters in altitude most importantly</t>
  </si>
  <si>
    <t>Again Kms and hms. But also scenery which motivates but maybe not at this late time anymore</t>
  </si>
  <si>
    <t>A is short in Kms and rockfall section is short, whereas the other one has a long section which is last option then</t>
  </si>
  <si>
    <t>Kms and hms again and season etc.</t>
  </si>
  <si>
    <t>it’s been good mostly. in less known areas sometimes the routes aren’t that good</t>
  </si>
  <si>
    <t>Maybe A also at second position but only if I have gear with me and know the route is not much visited and it is not the season for rockfall</t>
  </si>
  <si>
    <t>Very confusing graphic because I don't know if rocks are bigger or smaller on routes</t>
  </si>
  <si>
    <t>route c looks like a panorama-trail on which I would'nt lose much height and could promise beautiful views all around.
 route b is the most direct one, but with much height difference.
 route a is the longest, but probably the safest one.</t>
  </si>
  <si>
    <t>Mediocre. Leave planning to others who are more familiar with routes and can estimate risk better</t>
  </si>
  <si>
    <t>It's the shortest way to reach the hut. Tomorrow wil be enough time to visit the mountain top, when my energy level is up again.</t>
  </si>
  <si>
    <t>Same answer. Shortest route to reach the hut.</t>
  </si>
  <si>
    <t>Route A looks like the most beautiful one with the least altitude difference, and there is an opportunity for a short refreshing option at the lake.</t>
  </si>
  <si>
    <t>I always plan my hikes with maps and use them while hiking, so I would think that I'm well experienced.</t>
  </si>
  <si>
    <t>because I imagine to be already pretty tired, so I chose the shortest route with least altitude difference.</t>
  </si>
  <si>
    <t>Same answer as in the last question.</t>
  </si>
  <si>
    <t>Safety_rockfall, misses weather data</t>
  </si>
  <si>
    <t>Geometry/Effort, Safety_rockfall, Weather</t>
  </si>
  <si>
    <t>I usually don't use maps, I choose eaasy trails.</t>
  </si>
  <si>
    <t>Same scenario as the last question. I think I would coose route B if I wasn't alone. On my own, I would take the risk.</t>
  </si>
  <si>
    <t>Compromise, weather</t>
  </si>
  <si>
    <t>Same answer. Because of the time, the motto is 'the shorter the better'.</t>
  </si>
  <si>
    <t>If it weren't already so late, I probably would choose route B as my favorite, but in that case, I'd hope for luck and go for the more risky version on route A. I'd try to overcome the risky section as fast as possible.</t>
  </si>
  <si>
    <t>i USE PREFRABLE PAPER MAPS</t>
  </si>
  <si>
    <t>Geometry/Effort, rockfall</t>
  </si>
  <si>
    <t>Geometry/Effort, weather, rockfall</t>
  </si>
  <si>
    <t>To reduce exposition and the consequential risks, I would choose the route A, with no sharp descents.</t>
  </si>
  <si>
    <t>I am tired, I want to reduce the efforts. I choose the shortest trail.</t>
  </si>
  <si>
    <t>really good :) Cartography student</t>
  </si>
  <si>
    <t>Like before, I choose the shortest trail.</t>
  </si>
  <si>
    <t>Although A is a litlle bit longer, you have to gain less height.</t>
  </si>
  <si>
    <t>experienced</t>
  </si>
  <si>
    <t>Same decision as before, i want to minimize efforts</t>
  </si>
  <si>
    <t>high</t>
  </si>
  <si>
    <t>I choose depending on the risks of fall.</t>
  </si>
  <si>
    <t>Since I am tired, i choose B because it is not too risky.</t>
  </si>
  <si>
    <t>good, but could need some improvements here and there</t>
  </si>
  <si>
    <t>I want to avoid high risks and long trails.</t>
  </si>
  <si>
    <t>Same critreria as before</t>
  </si>
  <si>
    <t>When I am hiking I prefer to go by the signposts, with a printed map for backup. As I no longer go on longer walks at higher altitudes, this works fine for me. If I went on longer hikes at inner-alpine higher altitudes I would hope to have a signal for my mobile to call up a map and my position. I have walked in Australia where there was no signal more often than there was one and in Scotland where this is also an issue sometimes.</t>
  </si>
  <si>
    <t>Time_urgency; risk_acceptance</t>
  </si>
  <si>
    <t>I would choose the one with less meter to be gained, since my age.</t>
  </si>
  <si>
    <t>sAME CRITERIA AS BEFORE</t>
  </si>
  <si>
    <t>Medium well</t>
  </si>
  <si>
    <t>I want to minimize trhe efforts.</t>
  </si>
  <si>
    <t>tHE IS A NATURAL ORDER FOR GAINING METERS</t>
  </si>
  <si>
    <t>The is a naturaL CHOICE IN RESPECT OF THE LENBGHT OF THE TRAILS.</t>
  </si>
  <si>
    <t>Quite good even recently poored by the use of tracking app</t>
  </si>
  <si>
    <t>i NEED SAFETY TO REACH THE HUT</t>
  </si>
  <si>
    <t>mINIMIZE ROCKFALL DANGER</t>
  </si>
  <si>
    <t>b IS A GOOD COMPROMISE BETWEEN RISKS AND LENGTH</t>
  </si>
  <si>
    <t>FALL OF STONES AND ALSO LENGHTS SHOULKD BE CONSIDERED IN MY DECISION</t>
  </si>
  <si>
    <t>Honestly I would doubt this map, I can't imagine high rockfall danger in the valley. but anyway I'd take the medium risk because I feel ok with taking a medium amount of risk in the mountains</t>
  </si>
  <si>
    <t>Advanced, since I'm a cartographer :)</t>
  </si>
  <si>
    <t>B only has one dangerous point and seems like a good compromise to length and danger. and it just seems logical to me to take the path through the valley (the natural structure)</t>
  </si>
  <si>
    <t>Along the ridge, there's usually the best views. and it was rather short</t>
  </si>
  <si>
    <t>A seems very dangerous, B is still okay to me</t>
  </si>
  <si>
    <t>only medium risk is okay, good compromise</t>
  </si>
  <si>
    <t>along the mountain, through the valley, just seems like the logical path to me</t>
  </si>
  <si>
    <t>take the seemingly easy way through the valley, even if it's not the shortest</t>
  </si>
  <si>
    <t>I have quite some experience been working for 4 years making maps</t>
  </si>
  <si>
    <t>seems like a good compromise: hopefully not too difficult/risky and not super long</t>
  </si>
  <si>
    <t>from the map, I can't see differences in difficulty/danger, so Id take the shortest</t>
  </si>
  <si>
    <t>I am pretty ok reading maps, having taken IB Geography in high school and also using Offline Maps (Google Maps) a lot to navigate. I feel relatively confident in my map-reading skills.</t>
  </si>
  <si>
    <t>seems unlikely that there is 500m difference between route b and c</t>
  </si>
  <si>
    <t>Very insightful</t>
  </si>
  <si>
    <t>some danger but i would like to be fast at the hut</t>
  </si>
  <si>
    <t>Practice purposes.</t>
  </si>
  <si>
    <t>reduce danger but not too long</t>
  </si>
  <si>
    <t>I mostly don't use maps actually, I prefer to go with somebody else who already knows the way, because I am not so experienced and don't want to get lost</t>
  </si>
  <si>
    <t>danger seems too high in route A</t>
  </si>
  <si>
    <t>shortest route, probably best view across the valley</t>
  </si>
  <si>
    <t>Geometry/Effort, safety (light)</t>
  </si>
  <si>
    <t>probably best scenery
 option c - come on, i have already been hiking all day!</t>
  </si>
  <si>
    <t>Highly experienced</t>
  </si>
  <si>
    <t>Alone i might be able to assess the situation and rush through the dangerous areas, without having to wait for a group</t>
  </si>
  <si>
    <t>with a group, I'd stick to the safer route. Alone, i would probably take option B first</t>
  </si>
  <si>
    <t>probably best scenery, shortest route without unnecessary descent into the valley</t>
  </si>
  <si>
    <t>the terrain doesn't look like rockfall is realistic there - option A has at least only a short part to cross. But with a group of seniors i'd probably would choose option B first.</t>
  </si>
  <si>
    <t>If i'd be hiking alone, I'd take the small risk and bring a helmet.</t>
  </si>
  <si>
    <t>I would rank safety higher than convenience (shorter route, fewer metres up/down) and never take the one with the prolonged risky section.</t>
  </si>
  <si>
    <t>Route A looked the gentlest route and the least risky one. Route B has the advantage of being shorter, but it has one risky bit. I would never take the route C with the bigger rockfall risk.</t>
  </si>
  <si>
    <t>I would prefer route B over the longest route because tiredness is also a risk and the rockfall risk is fairly slow here. I would not take route A through the high-risk section.</t>
  </si>
  <si>
    <t>Compromise, mental and physical effort as components of danger</t>
  </si>
  <si>
    <t>Route B may be a bit risky in terms of rockfall, but it is shorter than route C. I can rule out route A because it would mean crossing a fairly risky terrain.</t>
  </si>
  <si>
    <t>staying on the ridge = less elevation + better views + more fun hiking</t>
  </si>
  <si>
    <t>Less rockfall</t>
  </si>
  <si>
    <t>fastest, not going down</t>
  </si>
  <si>
    <t>Time and Rockfall</t>
  </si>
  <si>
    <t>shortest , nicest</t>
  </si>
  <si>
    <t>Safety, time_urgency</t>
  </si>
  <si>
    <t>Time and rockfall</t>
  </si>
  <si>
    <t>Safety, time</t>
  </si>
  <si>
    <t>fastest</t>
  </si>
  <si>
    <t>fastest, least elevation</t>
  </si>
  <si>
    <t>C is the safer way</t>
  </si>
  <si>
    <t>B is shorter and with a low risk</t>
  </si>
  <si>
    <t>B is quite sure and shorter</t>
  </si>
  <si>
    <t>shorter route and rock fall</t>
  </si>
  <si>
    <t>rock fall</t>
  </si>
  <si>
    <t>Route B seems to have a rather long stretch of danger. I would prefer not having to walk 1 or more kilometers in a danger zone.</t>
  </si>
  <si>
    <t>I am a hiking guide leading mostly elderly people - less hm is a good thing for their knees. Additionally, I think option C is the least exposed to the sun, so more shade in summer is also preferred.</t>
  </si>
  <si>
    <t>I trust in the people who maintain the area. If it is too dangerous, the track would be closed off. The danger indication tells me to watch out, not to avoid that area.</t>
  </si>
  <si>
    <t>it's late, want to have some time at the hut</t>
  </si>
  <si>
    <t>I might risk it. B seems like the better option since it has a lower chance of rockfall. But C is a long way round. The danger zone around A doesn't seem to be too big.</t>
  </si>
  <si>
    <t>I can avoid some risk by doing a little detour. The lower chance of rockfall helps me choose the second route. I still have to be carefull, but the risk is significantly lower.</t>
  </si>
  <si>
    <t>because it's late afternoon</t>
  </si>
  <si>
    <t>because my top option has the least height and also crosses a lake - might be nice in summer</t>
  </si>
  <si>
    <t>C is less steep and easier</t>
  </si>
  <si>
    <t>It doesn’t has warning</t>
  </si>
  <si>
    <t>not much time left, if its late afternoon.</t>
  </si>
  <si>
    <t>B is more accessible</t>
  </si>
  <si>
    <t>Is less steep</t>
  </si>
  <si>
    <t>Geometry/Effort, safety (altitude)</t>
  </si>
  <si>
    <t>ranked based on the chances of rockfall (higher chances, lower rank)</t>
  </si>
  <si>
    <t>While B has some rockfall risk, it is still shorter than 9km. However, the shortest route which also has the highest risk of rockfall is ranked last because it seems too dangerous even if it is shortest</t>
  </si>
  <si>
    <t>Even though there is a low chance of rockfall on B route, it is much shorter than C with no rockfall. However, A route has a high chance of rockfall so even if it is shorter than C, it is ranked lowest because it seems most dangerous.</t>
  </si>
  <si>
    <t>Ranked based on the least likely chances of encountering rockfall, which is worth walking a bit longer since rockfall is dangerous</t>
  </si>
  <si>
    <t>A is faster than C and less dangerous than B.</t>
  </si>
  <si>
    <t>It is not that long and not that dangerous as A.</t>
  </si>
  <si>
    <t>Because it's less likely to be affected by rockfall in B.</t>
  </si>
  <si>
    <t>The risk at B is less than in A. Also the lenght of the road on a risk zone is less than in A.</t>
  </si>
  <si>
    <t>My favourite route looked easiest to me, fairly even rises and I would not have had to cross the creek</t>
  </si>
  <si>
    <t>Way A seems still like the coolest way with the best view, and the risk path was only short, B doesn't have the good view and is not soo much shorter than way C, and has a long path of the rockfall danger, so I picked C second and B last</t>
  </si>
  <si>
    <t>My favourite route is the least strenuous one, my second choice is for safety, my third choice looks fairly exposed</t>
  </si>
  <si>
    <t>Safety_rockfall, compromise, landscape</t>
  </si>
  <si>
    <t>B seems like a good trade of between not so long and little danger, then C has no danger at all and A seemed to dangerous</t>
  </si>
  <si>
    <t>It is the shortest route and the one with least altitudinal difference. If I have been walking all day I would not want to climb much more.</t>
  </si>
  <si>
    <t>C was just too long, so I still took the risk for A and B. Again I think this would be different if I wasn't hiking the whole day already. I think it also depends who I am with, I don't know so much about rockfall, or I would maybe hope that in way A there is a way around the dangerous area</t>
  </si>
  <si>
    <t>B seemed the coolest way and the danger period is not so long, I put A last because of the danger period</t>
  </si>
  <si>
    <t>Landscape, safety_rockfall</t>
  </si>
  <si>
    <t>My favourite route would require the least effort. I would not want to take a long route with a lot of climbing if I am getting tired towards the end of the day.</t>
  </si>
  <si>
    <t>After a whole day of walking I would always go for the least strenuous route with the least up and down.</t>
  </si>
  <si>
    <t>Aversion to valley + short time spent in rockfall area</t>
  </si>
  <si>
    <t>Safety_rockfall, landscape</t>
  </si>
  <si>
    <t>C is least exhausting; prefer B over the shame of taking the baby route</t>
  </si>
  <si>
    <t>High likelihood of rockfall while already exhausted; C is still prohibitively long</t>
  </si>
  <si>
    <t>Safety, compromise</t>
  </si>
  <si>
    <t>Least exhausting</t>
  </si>
  <si>
    <t>Fastest route</t>
  </si>
  <si>
    <t>Faster route</t>
  </si>
  <si>
    <t>it seems a smoother way</t>
  </si>
  <si>
    <t>B seems the shorter and safer way</t>
  </si>
  <si>
    <t>B seems the safer way</t>
  </si>
  <si>
    <t>B is the more direct way</t>
  </si>
  <si>
    <t>it seems the safer way</t>
  </si>
  <si>
    <t>shorter route</t>
  </si>
  <si>
    <t>shorter route and elevation</t>
  </si>
  <si>
    <t>It is the shortest route, I don't mind elevation. I like the challenge</t>
  </si>
  <si>
    <t>Since I've been hiking all day, I want to get there as quick as possible. I prefer doing the least distance and elevation as possible.</t>
  </si>
  <si>
    <t>I want to stay on the ridge to do less descent and climbing. It's late so i want to get there as quick as possible.</t>
  </si>
  <si>
    <t>It's late, I am tired, so I take the path of least resistance. One route is 500m shorter than the other, but it has way more elevations. That's why I chose the route that's 5km long, but has less elevation to cover.</t>
  </si>
  <si>
    <t>shortest distance, lowest climb. i'm too tired to do more</t>
  </si>
  <si>
    <t>interviewtime. Total time</t>
  </si>
  <si>
    <t>G02Q01Time. Question time: G02Q01</t>
  </si>
  <si>
    <t>G03Q01Time. Question time: G03Q01</t>
  </si>
  <si>
    <t>G04Q01Time. Question time: G04Q01</t>
  </si>
  <si>
    <t>G05Q01Time. Question time: G05Q01</t>
  </si>
  <si>
    <t>G06Q01Time. Question time: G06Q01</t>
  </si>
  <si>
    <t>G07Q01Time. Question time: G07Q01</t>
  </si>
  <si>
    <t>G08Q01Time. Question time: G08Q01</t>
  </si>
  <si>
    <t>G09Q01Time. Question time: G09Q01</t>
  </si>
  <si>
    <t>G10Q01Time. Question time: G10Q01</t>
  </si>
  <si>
    <t>Route A is lest steep, B is easier and C is the hardest one</t>
  </si>
  <si>
    <t>C is less steep and easier to access</t>
  </si>
  <si>
    <t>p0</t>
  </si>
  <si>
    <t>p1n</t>
  </si>
  <si>
    <t>p2n</t>
  </si>
  <si>
    <t>p3n</t>
  </si>
  <si>
    <t>B is less steep easy for a long hike.</t>
  </si>
  <si>
    <t>p4n</t>
  </si>
  <si>
    <t>p1h</t>
  </si>
  <si>
    <t>p2h</t>
  </si>
  <si>
    <t>p3h</t>
  </si>
  <si>
    <t>p4h</t>
  </si>
  <si>
    <t>B is easier and less time</t>
  </si>
  <si>
    <t>C is less steep</t>
  </si>
  <si>
    <t>C looks easiest, B looks most direct, and A seems most difficult of the 3 options</t>
  </si>
  <si>
    <t>Route B is the shortest/fastest with least walking uphill, so ranked 1. However, Route A looks trickier than Route C (even though it is a bit shorter and has less walking uphill)...so I ranked C before A for those reasons, thinking it might be an easier walk</t>
  </si>
  <si>
    <t>Skewness</t>
  </si>
  <si>
    <t>I put C last because it was at a higher altitude than the others, so i thought it might be more difficult (even if shorter/less uphill walking). So i ranked the routes according to ease/speed but also maybe a higher altitude would be more dangerous?</t>
  </si>
  <si>
    <t>Std. error skewness</t>
  </si>
  <si>
    <t>Route A is a bit longer than B but has less of an incline to walk up; Route B is shorter than Route C and also has less of an incline to walk up. So i ordered them based on ease/speed</t>
  </si>
  <si>
    <t>Ranked them based on which were shortest with the least walking uphill/incline</t>
  </si>
  <si>
    <t>Less elevation.</t>
  </si>
  <si>
    <t>Less elevation and distance.</t>
  </si>
  <si>
    <t>Less distance and elevation, and beautiful view.</t>
  </si>
  <si>
    <t>Less elevantion.</t>
  </si>
  <si>
    <t>A seemed not to be so steep with the serpentines and there were two rivers to cross, so I thought this might be a beautiful way. Also way C seemed not so steep as way B and I don't like it when it is steep :P</t>
  </si>
  <si>
    <t>Similar as before, mostly the length, although way would probably be the cooler way with more beautiful view, when I already hiked the whole day I would pick the shortest, that's why I picked B first</t>
  </si>
  <si>
    <t>Mostly the length, but also I think way C seemed to have the best view, also when I arrive at the hut I don't have to go up again as in way B (even though it was just a little but I don't want to go up at the end of the hike). Way A I picked last because it was too long</t>
  </si>
  <si>
    <t>Way A seems a bit cooler (again walking a little bit along the ridge which I think is cool) and also way A doesn't have so many heightmeters. The difference in length of A and B therefore doesn't matter too much (as it was not a great difference anyway). Way C was just too long</t>
  </si>
  <si>
    <t>Again mostly the length, although I would have picked B (because I like to hike along the ridge) if in the scenario I didn't already hike the whole day. If I already hiked so long I am tired and just pick the shortest route</t>
  </si>
  <si>
    <t>I'm expecting more interesting landscape on the ridge while also saving energy</t>
  </si>
  <si>
    <t>response_id</t>
  </si>
  <si>
    <t>AGE</t>
  </si>
  <si>
    <t>EXP_MO</t>
  </si>
  <si>
    <t>P1_top_nh</t>
  </si>
  <si>
    <t>P1_top_h</t>
  </si>
  <si>
    <t>P1_TopChanged</t>
  </si>
  <si>
    <t>P1_RankShift</t>
  </si>
  <si>
    <t>P1_DifficultyHazard</t>
  </si>
  <si>
    <t>P1_DifficultyNoHazard</t>
  </si>
  <si>
    <t>P2_top_nh</t>
  </si>
  <si>
    <t>P2_top_h</t>
  </si>
  <si>
    <t>P2_TopChanged</t>
  </si>
  <si>
    <t>P2_RankShift</t>
  </si>
  <si>
    <t>P2_DifficultyHazard</t>
  </si>
  <si>
    <t>P2_DifficultyNoHazard</t>
  </si>
  <si>
    <t>P3_top_nh</t>
  </si>
  <si>
    <t>P3_top_h</t>
  </si>
  <si>
    <t>P3_TopChanged</t>
  </si>
  <si>
    <t>P3_RankShift</t>
  </si>
  <si>
    <t>P3_DifficultyHazard</t>
  </si>
  <si>
    <t>P3_DifficultyNoHazard</t>
  </si>
  <si>
    <t>P4_top_nh</t>
  </si>
  <si>
    <t>P4_top_h</t>
  </si>
  <si>
    <t>P4_TopChanged</t>
  </si>
  <si>
    <t>P4_RankShift</t>
  </si>
  <si>
    <t>P4_DifficultyHazard</t>
  </si>
  <si>
    <t>P4_DifficultyNoHazard</t>
  </si>
  <si>
    <t>avg_time (s)</t>
  </si>
  <si>
    <t>Mean (s)</t>
  </si>
  <si>
    <t>Median (s)</t>
  </si>
  <si>
    <t>Min</t>
  </si>
  <si>
    <t>Max</t>
  </si>
  <si>
    <t>P0</t>
  </si>
  <si>
    <t>Correlation Matrix</t>
  </si>
  <si>
    <t>P4_EffortLevel</t>
  </si>
  <si>
    <t>P4_HazardLevel</t>
  </si>
  <si>
    <t>Spearman's rho</t>
  </si>
  <si>
    <t>—</t>
  </si>
  <si>
    <t>p-value</t>
  </si>
  <si>
    <t>P1_EffortLevel</t>
  </si>
  <si>
    <t>P1_HazardLevel</t>
  </si>
  <si>
    <t>-0.269*</t>
  </si>
  <si>
    <t>-0.431***</t>
  </si>
  <si>
    <t>0.346**</t>
  </si>
  <si>
    <t>P2_EffortLevel</t>
  </si>
  <si>
    <t>P2_HazardLevel</t>
  </si>
  <si>
    <t>-0.284*</t>
  </si>
  <si>
    <t>0.472***</t>
  </si>
  <si>
    <t>-0.404**</t>
  </si>
  <si>
    <t>-0.666***</t>
  </si>
  <si>
    <t>0.709***</t>
  </si>
  <si>
    <t>0.335*</t>
  </si>
  <si>
    <t>0.793***</t>
  </si>
  <si>
    <t>0.333*</t>
  </si>
  <si>
    <t>P3_EffortLevel</t>
  </si>
  <si>
    <t>0.277*</t>
  </si>
  <si>
    <t>P3_HazardLevel</t>
  </si>
  <si>
    <t>0.313*</t>
  </si>
  <si>
    <t>-0.421**</t>
  </si>
  <si>
    <t>-0.313*</t>
  </si>
  <si>
    <t>0.287*</t>
  </si>
  <si>
    <t>-0.282*</t>
  </si>
  <si>
    <t>0.267*</t>
  </si>
  <si>
    <t>-0.412**</t>
  </si>
  <si>
    <t>-0.475***</t>
  </si>
  <si>
    <t>0.567***</t>
  </si>
  <si>
    <t>0.453***</t>
  </si>
  <si>
    <t>0.697***</t>
  </si>
  <si>
    <t>0.363**</t>
  </si>
  <si>
    <t>0.383**</t>
  </si>
  <si>
    <t>0.714***</t>
  </si>
  <si>
    <t>0.270*</t>
  </si>
  <si>
    <t>0.660***</t>
  </si>
  <si>
    <t>0.559***</t>
  </si>
  <si>
    <t>0.312*</t>
  </si>
  <si>
    <t>0.272*</t>
  </si>
  <si>
    <t>0.340*</t>
  </si>
  <si>
    <t>0.311*</t>
  </si>
  <si>
    <t>-0.346**</t>
  </si>
  <si>
    <t>0.491***</t>
  </si>
  <si>
    <t>0.507***</t>
  </si>
  <si>
    <t>-0.345**</t>
  </si>
  <si>
    <t>0.292*</t>
  </si>
  <si>
    <t>-0.355**</t>
  </si>
  <si>
    <t>HL2 (compromise)</t>
  </si>
  <si>
    <t>HL3 (riskiest)</t>
  </si>
  <si>
    <t>P1-h (hue)</t>
  </si>
  <si>
    <t>P2-h (shape)</t>
  </si>
  <si>
    <t>P3-h (value)</t>
  </si>
  <si>
    <t>P4 -h (texture)</t>
  </si>
  <si>
    <t>-0.386**</t>
  </si>
  <si>
    <t>0.328*</t>
  </si>
  <si>
    <t>-0.455***</t>
  </si>
  <si>
    <t>0.300*</t>
  </si>
  <si>
    <t>0.371**</t>
  </si>
  <si>
    <t>-0.429***</t>
  </si>
  <si>
    <t>-0.502***</t>
  </si>
  <si>
    <t>0.648***</t>
  </si>
  <si>
    <t>0.477***</t>
  </si>
  <si>
    <t>0.646***</t>
  </si>
  <si>
    <t>0.345**</t>
  </si>
  <si>
    <t>0.734***</t>
  </si>
  <si>
    <t>0.495***</t>
  </si>
  <si>
    <t>0.337*</t>
  </si>
  <si>
    <t>0.856***</t>
  </si>
  <si>
    <t>0.274*</t>
  </si>
  <si>
    <t>0.306*</t>
  </si>
  <si>
    <t>0.743***</t>
  </si>
  <si>
    <t>0.441***</t>
  </si>
  <si>
    <t>0.656***</t>
  </si>
  <si>
    <t>0.554***</t>
  </si>
  <si>
    <t>-0.369**</t>
  </si>
  <si>
    <t>-0.569***</t>
  </si>
  <si>
    <t>0.710***</t>
  </si>
  <si>
    <t>0.279*</t>
  </si>
  <si>
    <t>-0.315*</t>
  </si>
  <si>
    <t>0.349**</t>
  </si>
  <si>
    <t>0.400**</t>
  </si>
  <si>
    <t>-0.311*</t>
  </si>
  <si>
    <t>-0.582***</t>
  </si>
  <si>
    <t>0.787***</t>
  </si>
  <si>
    <t>0.273*</t>
  </si>
  <si>
    <t>-0.672***</t>
  </si>
  <si>
    <t>-0.542***</t>
  </si>
  <si>
    <t>0.694***</t>
  </si>
  <si>
    <t>-0.267*</t>
  </si>
  <si>
    <t>0.352**</t>
  </si>
  <si>
    <t>0.325*</t>
  </si>
  <si>
    <t>-0.376**</t>
  </si>
  <si>
    <t>0.264*</t>
  </si>
  <si>
    <t>-0.344**</t>
  </si>
  <si>
    <t>0.288*</t>
  </si>
  <si>
    <t>-0.415**</t>
  </si>
  <si>
    <t>0.399**</t>
  </si>
  <si>
    <t>Age</t>
  </si>
  <si>
    <t>Exp_mo</t>
  </si>
  <si>
    <t>Number</t>
  </si>
  <si>
    <t>-0.351**</t>
  </si>
  <si>
    <t>Count</t>
  </si>
  <si>
    <t>Rarely (a few times/year)</t>
  </si>
  <si>
    <t>Often (several times/month)</t>
  </si>
  <si>
    <t>Very often (weekly+)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</si>
</sst>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18">
    <font>
      <sz val="10.0"/>
      <color rgb="FF000000"/>
      <name val="Arial"/>
      <scheme val="minor"/>
    </font>
    <font>
      <b/>
      <color rgb="FF000000"/>
      <name val="Helvetica Neue"/>
    </font>
    <font>
      <b/>
      <color theme="1"/>
      <name val="Arial"/>
      <scheme val="minor"/>
    </font>
    <font>
      <color theme="1"/>
      <name val="Arial"/>
      <scheme val="minor"/>
    </font>
    <font/>
    <font>
      <color rgb="FF000000"/>
      <name val="Helvetica Neue"/>
    </font>
    <font>
      <sz val="11.0"/>
      <color theme="1"/>
      <name val="Calibri"/>
    </font>
    <font>
      <sz val="12.0"/>
      <color rgb="FF000000"/>
      <name val="Cambria"/>
    </font>
    <font>
      <sz val="12.0"/>
      <color rgb="FF000000"/>
      <name val="Calibri"/>
    </font>
    <font>
      <b/>
      <color theme="1"/>
      <name val="Helvetica Neue"/>
    </font>
    <font>
      <color theme="1"/>
      <name val="Helvetica Neue"/>
    </font>
    <font>
      <color theme="1"/>
      <name val="Arial"/>
    </font>
    <font>
      <sz val="11.0"/>
      <color rgb="FF000000"/>
      <name val="'Times New Roman'"/>
    </font>
    <font>
      <sz val="11.0"/>
      <color rgb="FF000000"/>
      <name val="Arial"/>
    </font>
    <font>
      <color rgb="FF000000"/>
      <name val="Arial"/>
    </font>
    <font>
      <b/>
      <sz val="11.0"/>
      <color rgb="FF000000"/>
      <name val="Arial"/>
    </font>
    <font>
      <color rgb="FF000000"/>
      <name val="Arial"/>
      <scheme val="minor"/>
    </font>
    <font>
      <color theme="1"/>
      <name val="&quot;Google Sans Text&quot;"/>
    </font>
  </fonts>
  <fills count="13">
    <fill>
      <patternFill patternType="none"/>
    </fill>
    <fill>
      <patternFill patternType="lightGray"/>
    </fill>
    <fill>
      <patternFill patternType="solid">
        <fgColor rgb="FFB0B3B2"/>
        <bgColor rgb="FFB0B3B2"/>
      </patternFill>
    </fill>
    <fill>
      <patternFill patternType="solid">
        <fgColor rgb="FFEFEFEF"/>
        <bgColor rgb="FFEFEFEF"/>
      </patternFill>
    </fill>
    <fill>
      <patternFill patternType="solid">
        <fgColor rgb="FFD4D4D4"/>
        <bgColor rgb="FFD4D4D4"/>
      </patternFill>
    </fill>
    <fill>
      <patternFill patternType="solid">
        <fgColor rgb="FFD9D9D9"/>
        <bgColor rgb="FFD9D9D9"/>
      </patternFill>
    </fill>
    <fill>
      <patternFill patternType="solid">
        <fgColor rgb="FFF3F3F3"/>
        <bgColor rgb="FFF3F3F3"/>
      </patternFill>
    </fill>
    <fill>
      <patternFill patternType="solid">
        <fgColor rgb="FFFFFF00"/>
        <bgColor rgb="FFFFFF00"/>
      </patternFill>
    </fill>
    <fill>
      <patternFill patternType="solid">
        <fgColor rgb="FFFFF2CC"/>
        <bgColor rgb="FFFFF2CC"/>
      </patternFill>
    </fill>
    <fill>
      <patternFill patternType="solid">
        <fgColor rgb="FFB7B7B7"/>
        <bgColor rgb="FFB7B7B7"/>
      </patternFill>
    </fill>
    <fill>
      <patternFill patternType="solid">
        <fgColor rgb="FFF4CCCC"/>
        <bgColor rgb="FFF4CCCC"/>
      </patternFill>
    </fill>
    <fill>
      <patternFill patternType="solid">
        <fgColor rgb="FFFCE5CD"/>
        <bgColor rgb="FFFCE5CD"/>
      </patternFill>
    </fill>
    <fill>
      <patternFill patternType="solid">
        <fgColor rgb="FFFFFFFF"/>
        <bgColor rgb="FFFFFFFF"/>
      </patternFill>
    </fill>
  </fills>
  <borders count="6">
    <border/>
    <border>
      <bottom style="thin">
        <color rgb="FF333333"/>
      </bottom>
    </border>
    <border>
      <left style="thin">
        <color rgb="FF000000"/>
      </left>
      <right style="thin">
        <color rgb="FF000000"/>
      </right>
      <top style="thin">
        <color rgb="FF000000"/>
      </top>
      <bottom style="thin">
        <color rgb="FF000000"/>
      </bottom>
    </border>
    <border>
      <bottom style="medium">
        <color rgb="FF333333"/>
      </bottom>
    </border>
    <border>
      <left style="thin">
        <color rgb="FF9A9A9A"/>
      </left>
      <right style="thin">
        <color rgb="FF9A9A9A"/>
      </right>
      <top style="thin">
        <color rgb="FF9A9A9A"/>
      </top>
      <bottom style="thin">
        <color rgb="FF9A9A9A"/>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readingOrder="0" vertical="top"/>
    </xf>
    <xf borderId="0" fillId="0" fontId="2" numFmtId="0" xfId="0" applyAlignment="1" applyFont="1">
      <alignment readingOrder="0"/>
    </xf>
    <xf borderId="1" fillId="0" fontId="2" numFmtId="0" xfId="0" applyAlignment="1" applyBorder="1" applyFont="1">
      <alignment horizontal="left" readingOrder="0"/>
    </xf>
    <xf borderId="0" fillId="3" fontId="3" numFmtId="0" xfId="0" applyAlignment="1" applyFill="1" applyFont="1">
      <alignment readingOrder="0"/>
    </xf>
    <xf borderId="1" fillId="0" fontId="4" numFmtId="0" xfId="0" applyBorder="1" applyFont="1"/>
    <xf borderId="0" fillId="0" fontId="3" numFmtId="0" xfId="0" applyAlignment="1" applyFont="1">
      <alignment readingOrder="0"/>
    </xf>
    <xf borderId="1" fillId="0" fontId="3" numFmtId="0" xfId="0" applyAlignment="1" applyBorder="1" applyFont="1">
      <alignment horizontal="center"/>
    </xf>
    <xf borderId="1" fillId="0" fontId="3" numFmtId="0" xfId="0" applyAlignment="1" applyBorder="1" applyFont="1">
      <alignment horizontal="center" readingOrder="0"/>
    </xf>
    <xf borderId="0" fillId="0" fontId="3" numFmtId="0" xfId="0" applyAlignment="1" applyFont="1">
      <alignment horizontal="left" readingOrder="0" vertical="top"/>
    </xf>
    <xf borderId="0" fillId="0" fontId="3" numFmtId="0" xfId="0" applyAlignment="1" applyFont="1">
      <alignment horizontal="right" readingOrder="0" vertical="top"/>
    </xf>
    <xf borderId="2" fillId="4" fontId="1" numFmtId="0" xfId="0" applyAlignment="1" applyBorder="1" applyFill="1" applyFont="1">
      <alignment readingOrder="0" vertical="top"/>
    </xf>
    <xf borderId="0" fillId="5" fontId="2" numFmtId="0" xfId="0" applyAlignment="1" applyFill="1" applyFont="1">
      <alignment readingOrder="0"/>
    </xf>
    <xf borderId="2" fillId="0" fontId="5" numFmtId="0" xfId="0" applyAlignment="1" applyBorder="1" applyFont="1">
      <alignment readingOrder="0" vertical="top"/>
    </xf>
    <xf borderId="0" fillId="5" fontId="3" numFmtId="0" xfId="0" applyFont="1"/>
    <xf borderId="0" fillId="6" fontId="3" numFmtId="0" xfId="0" applyAlignment="1" applyFill="1" applyFont="1">
      <alignment horizontal="right" readingOrder="0" vertical="top"/>
    </xf>
    <xf borderId="0" fillId="5" fontId="3" numFmtId="0" xfId="0" applyAlignment="1" applyFont="1">
      <alignment readingOrder="0"/>
    </xf>
    <xf borderId="2" fillId="2" fontId="1" numFmtId="0" xfId="0" applyAlignment="1" applyBorder="1" applyFont="1">
      <alignment readingOrder="0" vertical="top"/>
    </xf>
    <xf borderId="3" fillId="0" fontId="3" numFmtId="0" xfId="0" applyAlignment="1" applyBorder="1" applyFont="1">
      <alignment horizontal="left" readingOrder="0" vertical="top"/>
    </xf>
    <xf borderId="3" fillId="0" fontId="3" numFmtId="0" xfId="0" applyAlignment="1" applyBorder="1" applyFont="1">
      <alignment horizontal="right" readingOrder="0" vertical="top"/>
    </xf>
    <xf borderId="0" fillId="7" fontId="3" numFmtId="0" xfId="0" applyAlignment="1" applyFill="1" applyFont="1">
      <alignment readingOrder="0"/>
    </xf>
    <xf borderId="0" fillId="7" fontId="3" numFmtId="0" xfId="0" applyFont="1"/>
    <xf borderId="0" fillId="8" fontId="3" numFmtId="0" xfId="0" applyAlignment="1" applyFill="1" applyFont="1">
      <alignment readingOrder="0"/>
    </xf>
    <xf borderId="0" fillId="9" fontId="3" numFmtId="0" xfId="0" applyFill="1" applyFont="1"/>
    <xf borderId="1" fillId="0" fontId="3" numFmtId="0" xfId="0" applyAlignment="1" applyBorder="1" applyFont="1">
      <alignment horizontal="left" readingOrder="0"/>
    </xf>
    <xf borderId="0" fillId="10" fontId="3" numFmtId="0" xfId="0" applyAlignment="1" applyFill="1" applyFont="1">
      <alignment readingOrder="0"/>
    </xf>
    <xf borderId="0" fillId="11" fontId="3" numFmtId="0" xfId="0" applyAlignment="1" applyFill="1" applyFont="1">
      <alignment readingOrder="0"/>
    </xf>
    <xf borderId="2" fillId="0" fontId="5" numFmtId="164" xfId="0" applyAlignment="1" applyBorder="1" applyFont="1" applyNumberFormat="1">
      <alignment readingOrder="0" vertical="top"/>
    </xf>
    <xf borderId="0" fillId="0" fontId="6" numFmtId="0" xfId="0" applyAlignment="1" applyFont="1">
      <alignment readingOrder="0" vertical="bottom"/>
    </xf>
    <xf borderId="0" fillId="0" fontId="6" numFmtId="0" xfId="0" applyAlignment="1" applyFont="1">
      <alignment vertical="bottom"/>
    </xf>
    <xf borderId="4" fillId="12" fontId="7" numFmtId="0" xfId="0" applyAlignment="1" applyBorder="1" applyFill="1" applyFont="1">
      <alignment readingOrder="0" vertical="bottom"/>
    </xf>
    <xf borderId="0" fillId="0" fontId="6" numFmtId="0" xfId="0" applyAlignment="1" applyFont="1">
      <alignment horizontal="right" vertical="bottom"/>
    </xf>
    <xf borderId="4" fillId="12" fontId="8" numFmtId="0" xfId="0" applyAlignment="1" applyBorder="1" applyFont="1">
      <alignment readingOrder="0" vertical="bottom"/>
    </xf>
    <xf borderId="2" fillId="0" fontId="3" numFmtId="0" xfId="0" applyAlignment="1" applyBorder="1" applyFont="1">
      <alignment vertical="top"/>
    </xf>
    <xf borderId="0" fillId="2" fontId="9" numFmtId="0" xfId="0" applyAlignment="1" applyFont="1">
      <alignment vertical="top"/>
    </xf>
    <xf quotePrefix="1" borderId="2" fillId="0" fontId="5" numFmtId="0" xfId="0" applyAlignment="1" applyBorder="1" applyFont="1">
      <alignment readingOrder="0" vertical="top"/>
    </xf>
    <xf borderId="2" fillId="2" fontId="9" numFmtId="0" xfId="0" applyAlignment="1" applyBorder="1" applyFont="1">
      <alignment vertical="top"/>
    </xf>
    <xf borderId="2" fillId="0" fontId="10" numFmtId="0" xfId="0" applyAlignment="1" applyBorder="1" applyFont="1">
      <alignment horizontal="right" vertical="top"/>
    </xf>
    <xf borderId="0" fillId="7" fontId="3" numFmtId="0" xfId="0" applyAlignment="1" applyFont="1">
      <alignment horizontal="left" readingOrder="0" vertical="top"/>
    </xf>
    <xf borderId="0" fillId="7" fontId="3" numFmtId="0" xfId="0" applyAlignment="1" applyFont="1">
      <alignment horizontal="right" readingOrder="0" vertical="top"/>
    </xf>
    <xf borderId="2" fillId="0" fontId="11" numFmtId="0" xfId="0" applyAlignment="1" applyBorder="1" applyFont="1">
      <alignment vertical="top"/>
    </xf>
    <xf borderId="0" fillId="0" fontId="12" numFmtId="0" xfId="0" applyAlignment="1" applyFont="1">
      <alignment readingOrder="0"/>
    </xf>
    <xf borderId="4" fillId="0" fontId="8" numFmtId="0" xfId="0" applyAlignment="1" applyBorder="1" applyFont="1">
      <alignment readingOrder="0" vertical="bottom"/>
    </xf>
    <xf borderId="4" fillId="0" fontId="3" numFmtId="0" xfId="0" applyAlignment="1" applyBorder="1" applyFont="1">
      <alignment vertical="bottom"/>
    </xf>
    <xf borderId="0" fillId="0" fontId="13" numFmtId="0" xfId="0" applyAlignment="1" applyFont="1">
      <alignment readingOrder="0"/>
    </xf>
    <xf borderId="0" fillId="0" fontId="14" numFmtId="0" xfId="0" applyAlignment="1" applyFont="1">
      <alignment horizontal="left" readingOrder="0" shrinkToFit="0" wrapText="1"/>
    </xf>
    <xf borderId="0" fillId="0" fontId="3" numFmtId="0" xfId="0" applyAlignment="1" applyFont="1">
      <alignment horizontal="left" shrinkToFit="0" vertical="top" wrapText="1"/>
    </xf>
    <xf borderId="0" fillId="0" fontId="11" numFmtId="0" xfId="0" applyAlignment="1" applyFont="1">
      <alignment vertical="bottom"/>
    </xf>
    <xf borderId="0" fillId="0" fontId="11" numFmtId="0" xfId="0" applyAlignment="1" applyFont="1">
      <alignment readingOrder="0" vertical="bottom"/>
    </xf>
    <xf borderId="2" fillId="0" fontId="3" numFmtId="0" xfId="0" applyAlignment="1" applyBorder="1" applyFont="1">
      <alignment readingOrder="0" vertical="top"/>
    </xf>
    <xf borderId="0" fillId="0" fontId="5" numFmtId="0" xfId="0" applyAlignment="1" applyFont="1">
      <alignment readingOrder="0" vertical="top"/>
    </xf>
    <xf borderId="2" fillId="10" fontId="5" numFmtId="0" xfId="0" applyAlignment="1" applyBorder="1" applyFont="1">
      <alignment readingOrder="0" vertical="top"/>
    </xf>
    <xf borderId="0" fillId="0" fontId="3" numFmtId="0" xfId="0" applyAlignment="1" applyFont="1">
      <alignment readingOrder="0" vertical="top"/>
    </xf>
    <xf borderId="0" fillId="4" fontId="1" numFmtId="0" xfId="0" applyAlignment="1" applyFont="1">
      <alignment readingOrder="0" vertical="top"/>
    </xf>
    <xf borderId="0" fillId="10" fontId="5" numFmtId="0" xfId="0" applyAlignment="1" applyFont="1">
      <alignment readingOrder="0" vertical="top"/>
    </xf>
    <xf borderId="0" fillId="0" fontId="3" numFmtId="0" xfId="0" applyFont="1"/>
    <xf borderId="0" fillId="0" fontId="15" numFmtId="0" xfId="0" applyAlignment="1" applyFont="1">
      <alignment horizontal="left" readingOrder="0" shrinkToFit="0" wrapText="1"/>
    </xf>
    <xf borderId="0" fillId="0" fontId="13" numFmtId="0" xfId="0" applyAlignment="1" applyFont="1">
      <alignment horizontal="left" readingOrder="0" shrinkToFit="0" wrapText="1"/>
    </xf>
    <xf borderId="0" fillId="0" fontId="3" numFmtId="0" xfId="0" applyAlignment="1" applyFont="1">
      <alignment horizontal="right" vertical="top"/>
    </xf>
    <xf borderId="0" fillId="5" fontId="16" numFmtId="0" xfId="0" applyAlignment="1" applyFont="1">
      <alignment readingOrder="0" shrinkToFit="0" wrapText="1"/>
    </xf>
    <xf borderId="0" fillId="0" fontId="16" numFmtId="0" xfId="0" applyAlignment="1" applyFont="1">
      <alignment readingOrder="0" shrinkToFit="0" wrapText="1"/>
    </xf>
    <xf borderId="0" fillId="0" fontId="16" numFmtId="0" xfId="0" applyAlignment="1" applyFont="1">
      <alignment horizontal="center" readingOrder="0" shrinkToFit="0" wrapText="1"/>
    </xf>
    <xf borderId="0" fillId="0" fontId="16" numFmtId="10" xfId="0" applyAlignment="1" applyFont="1" applyNumberFormat="1">
      <alignment horizontal="center" readingOrder="0" shrinkToFit="0" wrapText="1"/>
    </xf>
    <xf borderId="0" fillId="0" fontId="16" numFmtId="10" xfId="0" applyAlignment="1" applyFont="1" applyNumberFormat="1">
      <alignment readingOrder="0" shrinkToFit="0" wrapText="1"/>
    </xf>
    <xf borderId="3" fillId="0" fontId="4" numFmtId="0" xfId="0" applyBorder="1" applyFont="1"/>
    <xf borderId="0" fillId="6" fontId="3" numFmtId="0" xfId="0" applyFont="1"/>
    <xf borderId="5" fillId="0" fontId="17" numFmtId="0" xfId="0" applyAlignment="1" applyBorder="1" applyFont="1">
      <alignment readingOrder="0"/>
    </xf>
    <xf borderId="0" fillId="0" fontId="1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avg_time (s) vs prototype</a:t>
            </a:r>
          </a:p>
        </c:rich>
      </c:tx>
      <c:overlay val="0"/>
    </c:title>
    <c:plotArea>
      <c:layout/>
      <c:lineChart>
        <c:varyColors val="0"/>
        <c:ser>
          <c:idx val="0"/>
          <c:order val="0"/>
          <c:tx>
            <c:strRef>
              <c:f>timers!$C$65</c:f>
            </c:strRef>
          </c:tx>
          <c:spPr>
            <a:ln cmpd="sng">
              <a:solidFill>
                <a:srgbClr val="4285F4"/>
              </a:solidFill>
            </a:ln>
          </c:spPr>
          <c:marker>
            <c:symbol val="none"/>
          </c:marker>
          <c:cat>
            <c:strRef>
              <c:f>timers!$B$66:$B$74</c:f>
            </c:strRef>
          </c:cat>
          <c:val>
            <c:numRef>
              <c:f>timers!$C$66:$C$74</c:f>
              <c:numCache/>
            </c:numRef>
          </c:val>
          <c:smooth val="0"/>
        </c:ser>
        <c:axId val="1199414789"/>
        <c:axId val="1266242861"/>
      </c:lineChart>
      <c:catAx>
        <c:axId val="11994147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prototype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66242861"/>
      </c:catAx>
      <c:valAx>
        <c:axId val="12662428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avg_time (s)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9941478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Age/Count vs Age/Number</a:t>
            </a:r>
          </a:p>
        </c:rich>
      </c:tx>
      <c:overlay val="0"/>
    </c:title>
    <c:plotArea>
      <c:layout/>
      <c:barChart>
        <c:barDir val="col"/>
        <c:ser>
          <c:idx val="0"/>
          <c:order val="0"/>
          <c:tx>
            <c:strRef>
              <c:f>computed!$B$62:$B$63</c:f>
            </c:strRef>
          </c:tx>
          <c:spPr>
            <a:solidFill>
              <a:schemeClr val="accent1"/>
            </a:solidFill>
            <a:ln cmpd="sng">
              <a:noFill/>
            </a:ln>
          </c:spPr>
          <c:cat>
            <c:strRef>
              <c:f>computed!$A$64:$A$69</c:f>
            </c:strRef>
          </c:cat>
          <c:val>
            <c:numRef>
              <c:f>computed!$B$64:$B$69</c:f>
              <c:numCache/>
            </c:numRef>
          </c:val>
        </c:ser>
        <c:axId val="1078928666"/>
        <c:axId val="585275896"/>
      </c:barChart>
      <c:catAx>
        <c:axId val="10789286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Age/Number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85275896"/>
      </c:catAx>
      <c:valAx>
        <c:axId val="5852758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Age/Count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892866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computed!$D$63</c:f>
            </c:strRef>
          </c:tx>
          <c:spPr>
            <a:solidFill>
              <a:schemeClr val="accent1"/>
            </a:solidFill>
            <a:ln cmpd="sng">
              <a:noFill/>
            </a:ln>
          </c:spPr>
          <c:cat>
            <c:strRef>
              <c:f>computed!$C$64:$C$67</c:f>
            </c:strRef>
          </c:cat>
          <c:val>
            <c:numRef>
              <c:f>computed!$D$64:$D$67</c:f>
              <c:numCache/>
            </c:numRef>
          </c:val>
        </c:ser>
        <c:axId val="1174640752"/>
        <c:axId val="408515580"/>
      </c:barChart>
      <c:catAx>
        <c:axId val="11746407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08515580"/>
      </c:catAx>
      <c:valAx>
        <c:axId val="4085155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4640752"/>
      </c:valAx>
    </c:plotArea>
    <c:legend>
      <c:legendPos val="r"/>
      <c:overlay val="0"/>
      <c:txPr>
        <a:bodyPr/>
        <a:lstStyle/>
        <a:p>
          <a:pPr lvl="0">
            <a:defRPr b="0">
              <a:solidFill>
                <a:srgbClr val="1A1A1A"/>
              </a:solidFill>
              <a:latin typeface="+mn-lt"/>
            </a:defRPr>
          </a:pPr>
        </a:p>
      </c:txPr>
    </c:legend>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942975</xdr:colOff>
      <xdr:row>63</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70</xdr:row>
      <xdr:rowOff>19050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714375</xdr:colOff>
      <xdr:row>70</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4.63"/>
  </cols>
  <sheetData>
    <row r="1">
      <c r="A1" s="2" t="s">
        <v>0</v>
      </c>
    </row>
    <row r="2">
      <c r="A2" s="4" t="s">
        <v>5</v>
      </c>
      <c r="B2" s="4" t="s">
        <v>10</v>
      </c>
      <c r="C2" s="4" t="s">
        <v>12</v>
      </c>
      <c r="D2" s="4" t="s">
        <v>14</v>
      </c>
      <c r="E2" s="4" t="s">
        <v>15</v>
      </c>
      <c r="F2" s="4" t="s">
        <v>18</v>
      </c>
      <c r="G2" s="4" t="s">
        <v>20</v>
      </c>
    </row>
    <row r="3">
      <c r="A3" s="6" t="s">
        <v>22</v>
      </c>
      <c r="B3" s="6" t="s">
        <v>25</v>
      </c>
      <c r="C3" s="6" t="s">
        <v>26</v>
      </c>
      <c r="D3" s="6" t="s">
        <v>27</v>
      </c>
      <c r="E3" s="6" t="s">
        <v>27</v>
      </c>
      <c r="F3" s="6" t="s">
        <v>26</v>
      </c>
      <c r="G3" s="6" t="s">
        <v>25</v>
      </c>
    </row>
    <row r="4">
      <c r="A4" s="6" t="s">
        <v>32</v>
      </c>
      <c r="B4" s="6" t="s">
        <v>27</v>
      </c>
      <c r="C4" s="6" t="s">
        <v>25</v>
      </c>
      <c r="D4" s="6" t="s">
        <v>26</v>
      </c>
      <c r="E4" s="6" t="s">
        <v>26</v>
      </c>
      <c r="F4" s="6" t="s">
        <v>25</v>
      </c>
      <c r="G4" s="6" t="s">
        <v>27</v>
      </c>
    </row>
    <row r="5">
      <c r="A5" s="6" t="s">
        <v>46</v>
      </c>
      <c r="B5" s="6" t="s">
        <v>26</v>
      </c>
      <c r="C5" s="6" t="s">
        <v>25</v>
      </c>
      <c r="D5" s="6" t="s">
        <v>27</v>
      </c>
      <c r="E5" s="6" t="s">
        <v>27</v>
      </c>
      <c r="F5" s="6" t="s">
        <v>25</v>
      </c>
      <c r="G5" s="6" t="s">
        <v>26</v>
      </c>
    </row>
    <row r="6">
      <c r="A6" s="6" t="s">
        <v>57</v>
      </c>
      <c r="B6" s="6" t="s">
        <v>26</v>
      </c>
      <c r="C6" s="6" t="s">
        <v>25</v>
      </c>
      <c r="D6" s="6" t="s">
        <v>27</v>
      </c>
      <c r="E6" s="6" t="s">
        <v>27</v>
      </c>
      <c r="F6" s="6" t="s">
        <v>25</v>
      </c>
      <c r="G6" s="6" t="s">
        <v>26</v>
      </c>
    </row>
    <row r="8">
      <c r="A8" s="12" t="s">
        <v>69</v>
      </c>
      <c r="B8" s="14"/>
      <c r="C8" s="16" t="s">
        <v>73</v>
      </c>
      <c r="D8" s="16" t="s">
        <v>75</v>
      </c>
      <c r="E8" s="16" t="s">
        <v>77</v>
      </c>
      <c r="F8" s="16" t="s">
        <v>78</v>
      </c>
      <c r="G8" s="16" t="s">
        <v>79</v>
      </c>
      <c r="H8" s="16" t="s">
        <v>80</v>
      </c>
      <c r="I8" s="16" t="s">
        <v>81</v>
      </c>
      <c r="J8" s="16" t="s">
        <v>82</v>
      </c>
      <c r="K8" s="16" t="s">
        <v>84</v>
      </c>
      <c r="L8" s="16" t="s">
        <v>85</v>
      </c>
      <c r="M8" s="16" t="s">
        <v>86</v>
      </c>
      <c r="N8" s="14"/>
      <c r="O8" s="14"/>
      <c r="P8" s="14"/>
      <c r="Q8" s="14"/>
      <c r="R8" s="14"/>
      <c r="S8" s="14"/>
      <c r="T8" s="14"/>
      <c r="U8" s="14"/>
      <c r="V8" s="14"/>
      <c r="W8" s="14"/>
      <c r="X8" s="14"/>
      <c r="Y8" s="14"/>
    </row>
    <row r="9">
      <c r="A9" s="6" t="s">
        <v>93</v>
      </c>
      <c r="C9" s="6" t="s">
        <v>22</v>
      </c>
      <c r="D9" s="6">
        <v>44.0</v>
      </c>
      <c r="E9" s="6" t="s">
        <v>95</v>
      </c>
      <c r="F9" s="6" t="s">
        <v>96</v>
      </c>
      <c r="G9" s="6">
        <v>4.0</v>
      </c>
      <c r="H9" s="6" t="s">
        <v>98</v>
      </c>
      <c r="I9" s="6">
        <v>2.0</v>
      </c>
      <c r="J9" s="6" t="s">
        <v>101</v>
      </c>
      <c r="K9" s="6" t="s">
        <v>103</v>
      </c>
      <c r="L9" s="6">
        <v>1.0</v>
      </c>
      <c r="M9" s="6" t="s">
        <v>105</v>
      </c>
    </row>
    <row r="10">
      <c r="A10" s="6" t="s">
        <v>106</v>
      </c>
      <c r="C10" s="6" t="s">
        <v>32</v>
      </c>
      <c r="D10" s="6">
        <v>41.0</v>
      </c>
      <c r="E10" s="6" t="s">
        <v>108</v>
      </c>
      <c r="F10" s="6" t="s">
        <v>110</v>
      </c>
      <c r="G10" s="6">
        <v>4.0</v>
      </c>
      <c r="H10" s="6" t="s">
        <v>111</v>
      </c>
      <c r="I10" s="6">
        <v>2.0</v>
      </c>
      <c r="J10" s="6" t="s">
        <v>113</v>
      </c>
      <c r="K10" s="6" t="s">
        <v>114</v>
      </c>
      <c r="L10" s="6">
        <v>1.0</v>
      </c>
      <c r="M10" s="6" t="s">
        <v>115</v>
      </c>
    </row>
    <row r="11">
      <c r="C11" s="6" t="s">
        <v>46</v>
      </c>
      <c r="D11" s="6">
        <v>46.0</v>
      </c>
      <c r="E11" s="6" t="s">
        <v>117</v>
      </c>
      <c r="F11" s="6" t="s">
        <v>110</v>
      </c>
      <c r="G11" s="6">
        <v>4.0</v>
      </c>
      <c r="H11" s="6" t="s">
        <v>120</v>
      </c>
      <c r="I11" s="6">
        <v>2.0</v>
      </c>
      <c r="J11" s="6" t="s">
        <v>122</v>
      </c>
      <c r="K11" s="6" t="s">
        <v>123</v>
      </c>
      <c r="L11" s="6">
        <v>1.0</v>
      </c>
      <c r="M11" s="6" t="s">
        <v>125</v>
      </c>
    </row>
    <row r="12">
      <c r="A12" s="6"/>
      <c r="C12" s="6" t="s">
        <v>57</v>
      </c>
      <c r="D12" s="6">
        <v>45.0</v>
      </c>
      <c r="E12" s="6" t="s">
        <v>128</v>
      </c>
      <c r="F12" s="6" t="s">
        <v>129</v>
      </c>
      <c r="G12" s="6">
        <v>4.0</v>
      </c>
      <c r="H12" s="6" t="s">
        <v>131</v>
      </c>
      <c r="I12" s="6">
        <v>2.0</v>
      </c>
      <c r="J12" s="6" t="s">
        <v>101</v>
      </c>
      <c r="K12" s="6" t="s">
        <v>133</v>
      </c>
      <c r="L12" s="6">
        <v>1.0</v>
      </c>
      <c r="M12" s="6" t="s">
        <v>134</v>
      </c>
    </row>
    <row r="13">
      <c r="A13" s="6"/>
      <c r="C13" s="6"/>
      <c r="F13" s="6"/>
    </row>
    <row r="14">
      <c r="A14" s="16" t="s">
        <v>136</v>
      </c>
      <c r="B14" s="14"/>
      <c r="C14" s="16" t="s">
        <v>138</v>
      </c>
      <c r="D14" s="14"/>
      <c r="E14" s="14"/>
      <c r="F14" s="16" t="s">
        <v>139</v>
      </c>
      <c r="G14" s="14"/>
      <c r="H14" s="14"/>
      <c r="I14" s="14"/>
      <c r="J14" s="14"/>
      <c r="K14" s="14"/>
      <c r="L14" s="14"/>
      <c r="M14" s="14"/>
      <c r="N14" s="14"/>
      <c r="O14" s="14"/>
      <c r="P14" s="14"/>
      <c r="Q14" s="14"/>
      <c r="R14" s="14"/>
      <c r="S14" s="14"/>
      <c r="T14" s="14"/>
      <c r="U14" s="14"/>
      <c r="V14" s="14"/>
      <c r="W14" s="14"/>
      <c r="X14" s="14"/>
      <c r="Y14" s="14"/>
    </row>
    <row r="15">
      <c r="A15" s="6" t="s">
        <v>41</v>
      </c>
      <c r="B15" s="6" t="s">
        <v>146</v>
      </c>
      <c r="C15" s="6" t="s">
        <v>148</v>
      </c>
      <c r="D15" s="6" t="s">
        <v>149</v>
      </c>
      <c r="F15" s="6" t="s">
        <v>41</v>
      </c>
      <c r="G15" s="6" t="s">
        <v>146</v>
      </c>
      <c r="H15" s="6" t="s">
        <v>148</v>
      </c>
      <c r="I15" s="6" t="s">
        <v>149</v>
      </c>
    </row>
    <row r="16">
      <c r="A16" s="6" t="s">
        <v>153</v>
      </c>
      <c r="B16" s="6" t="s">
        <v>154</v>
      </c>
      <c r="C16" s="22" t="s">
        <v>155</v>
      </c>
      <c r="D16" s="6" t="s">
        <v>158</v>
      </c>
      <c r="F16" s="6" t="s">
        <v>153</v>
      </c>
      <c r="G16" s="22" t="s">
        <v>159</v>
      </c>
      <c r="H16" s="6" t="s">
        <v>161</v>
      </c>
      <c r="I16" s="6" t="s">
        <v>162</v>
      </c>
    </row>
    <row r="17">
      <c r="A17" s="6" t="s">
        <v>164</v>
      </c>
      <c r="B17" s="6" t="s">
        <v>158</v>
      </c>
      <c r="C17" s="6" t="s">
        <v>166</v>
      </c>
      <c r="D17" s="22" t="s">
        <v>167</v>
      </c>
      <c r="F17" s="6" t="s">
        <v>164</v>
      </c>
      <c r="G17" s="6" t="s">
        <v>169</v>
      </c>
      <c r="H17" s="22" t="s">
        <v>171</v>
      </c>
      <c r="I17" s="6" t="s">
        <v>172</v>
      </c>
    </row>
    <row r="18">
      <c r="A18" s="6" t="s">
        <v>174</v>
      </c>
      <c r="B18" s="22" t="s">
        <v>175</v>
      </c>
      <c r="C18" s="6" t="s">
        <v>177</v>
      </c>
      <c r="D18" s="6" t="s">
        <v>154</v>
      </c>
      <c r="F18" s="6" t="s">
        <v>174</v>
      </c>
      <c r="G18" s="6" t="s">
        <v>179</v>
      </c>
      <c r="H18" s="22" t="s">
        <v>180</v>
      </c>
      <c r="I18" s="6" t="s">
        <v>181</v>
      </c>
    </row>
    <row r="19">
      <c r="A19" s="6" t="s">
        <v>184</v>
      </c>
      <c r="B19" s="22" t="s">
        <v>185</v>
      </c>
      <c r="C19" s="6" t="s">
        <v>177</v>
      </c>
      <c r="D19" s="6" t="s">
        <v>161</v>
      </c>
      <c r="F19" s="6" t="s">
        <v>184</v>
      </c>
      <c r="G19" s="6" t="s">
        <v>158</v>
      </c>
      <c r="H19" s="22" t="s">
        <v>190</v>
      </c>
      <c r="I19" s="6" t="s">
        <v>172</v>
      </c>
    </row>
    <row r="21">
      <c r="A21" s="16" t="s">
        <v>192</v>
      </c>
      <c r="B21" s="14"/>
      <c r="C21" s="16" t="s">
        <v>138</v>
      </c>
      <c r="D21" s="14"/>
      <c r="E21" s="14"/>
      <c r="F21" s="16" t="s">
        <v>197</v>
      </c>
      <c r="G21" s="14"/>
      <c r="H21" s="14"/>
      <c r="I21" s="14"/>
      <c r="J21" s="14"/>
      <c r="K21" s="14"/>
      <c r="L21" s="14"/>
      <c r="M21" s="14"/>
      <c r="N21" s="14"/>
      <c r="O21" s="14"/>
      <c r="P21" s="14"/>
      <c r="Q21" s="14"/>
      <c r="R21" s="14"/>
      <c r="S21" s="14"/>
      <c r="T21" s="14"/>
      <c r="U21" s="14"/>
      <c r="V21" s="14"/>
      <c r="W21" s="14"/>
      <c r="X21" s="14"/>
      <c r="Y21" s="14"/>
    </row>
    <row r="22">
      <c r="A22" s="6" t="s">
        <v>41</v>
      </c>
      <c r="B22" s="6" t="s">
        <v>146</v>
      </c>
      <c r="C22" s="6" t="s">
        <v>148</v>
      </c>
      <c r="D22" s="6" t="s">
        <v>149</v>
      </c>
      <c r="F22" s="6" t="s">
        <v>41</v>
      </c>
      <c r="G22" s="6" t="s">
        <v>146</v>
      </c>
      <c r="H22" s="6" t="s">
        <v>148</v>
      </c>
      <c r="I22" s="6" t="s">
        <v>149</v>
      </c>
    </row>
    <row r="23">
      <c r="A23" s="6" t="s">
        <v>153</v>
      </c>
      <c r="B23" s="6" t="s">
        <v>209</v>
      </c>
      <c r="C23" s="6" t="s">
        <v>210</v>
      </c>
      <c r="D23" s="25" t="s">
        <v>211</v>
      </c>
      <c r="F23" s="6" t="s">
        <v>153</v>
      </c>
      <c r="G23" s="22" t="s">
        <v>213</v>
      </c>
      <c r="H23" s="6" t="s">
        <v>215</v>
      </c>
      <c r="I23" s="6" t="s">
        <v>217</v>
      </c>
    </row>
    <row r="24">
      <c r="A24" s="6" t="s">
        <v>164</v>
      </c>
      <c r="B24" s="25" t="s">
        <v>219</v>
      </c>
      <c r="C24" s="6" t="s">
        <v>220</v>
      </c>
      <c r="D24" s="6" t="s">
        <v>172</v>
      </c>
      <c r="F24" s="6" t="s">
        <v>164</v>
      </c>
      <c r="G24" s="6" t="s">
        <v>209</v>
      </c>
      <c r="H24" s="22" t="s">
        <v>211</v>
      </c>
      <c r="I24" s="6" t="s">
        <v>210</v>
      </c>
    </row>
    <row r="25">
      <c r="A25" s="6" t="s">
        <v>174</v>
      </c>
      <c r="B25" s="6" t="s">
        <v>177</v>
      </c>
      <c r="C25" s="6" t="s">
        <v>190</v>
      </c>
      <c r="D25" s="25" t="s">
        <v>181</v>
      </c>
      <c r="F25" s="6" t="s">
        <v>174</v>
      </c>
      <c r="G25" s="6" t="s">
        <v>223</v>
      </c>
      <c r="H25" s="22" t="s">
        <v>210</v>
      </c>
      <c r="I25" s="6" t="s">
        <v>224</v>
      </c>
    </row>
    <row r="26">
      <c r="A26" s="6" t="s">
        <v>184</v>
      </c>
      <c r="B26" s="6" t="s">
        <v>226</v>
      </c>
      <c r="C26" s="6" t="s">
        <v>227</v>
      </c>
      <c r="D26" s="25" t="s">
        <v>172</v>
      </c>
      <c r="F26" s="6" t="s">
        <v>184</v>
      </c>
      <c r="G26" s="6" t="s">
        <v>229</v>
      </c>
      <c r="H26" s="22" t="s">
        <v>215</v>
      </c>
      <c r="I26" s="6" t="s">
        <v>230</v>
      </c>
    </row>
    <row r="28">
      <c r="A28" s="16" t="s">
        <v>231</v>
      </c>
      <c r="B28" s="14"/>
      <c r="C28" s="16" t="s">
        <v>233</v>
      </c>
      <c r="D28" s="14"/>
      <c r="E28" s="14"/>
      <c r="F28" s="14"/>
      <c r="G28" s="14"/>
      <c r="H28" s="14"/>
      <c r="I28" s="14"/>
      <c r="J28" s="14"/>
      <c r="K28" s="14"/>
      <c r="L28" s="14"/>
      <c r="M28" s="14"/>
      <c r="N28" s="14"/>
      <c r="O28" s="14"/>
      <c r="P28" s="14"/>
      <c r="Q28" s="14"/>
      <c r="R28" s="14"/>
      <c r="S28" s="14"/>
      <c r="T28" s="14"/>
      <c r="U28" s="14"/>
      <c r="V28" s="14"/>
      <c r="W28" s="14"/>
      <c r="X28" s="14"/>
      <c r="Y28" s="14"/>
    </row>
    <row r="29">
      <c r="A29" s="6" t="s">
        <v>240</v>
      </c>
      <c r="F29" s="6" t="s">
        <v>242</v>
      </c>
    </row>
    <row r="30">
      <c r="A30" s="6" t="s">
        <v>41</v>
      </c>
      <c r="B30" s="6" t="s">
        <v>243</v>
      </c>
      <c r="C30" s="6" t="s">
        <v>244</v>
      </c>
      <c r="D30" s="6" t="s">
        <v>245</v>
      </c>
      <c r="F30" s="6" t="s">
        <v>41</v>
      </c>
      <c r="G30" s="6" t="s">
        <v>246</v>
      </c>
      <c r="H30" s="6" t="s">
        <v>247</v>
      </c>
      <c r="I30" s="6" t="s">
        <v>248</v>
      </c>
    </row>
    <row r="31">
      <c r="A31" s="6" t="s">
        <v>22</v>
      </c>
      <c r="B31" s="26" t="s">
        <v>155</v>
      </c>
      <c r="C31" s="6" t="s">
        <v>154</v>
      </c>
      <c r="D31" s="6" t="s">
        <v>158</v>
      </c>
      <c r="F31" s="6" t="s">
        <v>22</v>
      </c>
      <c r="G31" s="6" t="s">
        <v>211</v>
      </c>
      <c r="H31" s="26" t="s">
        <v>209</v>
      </c>
      <c r="I31" s="6" t="s">
        <v>210</v>
      </c>
    </row>
    <row r="32">
      <c r="A32" s="6" t="s">
        <v>32</v>
      </c>
      <c r="B32" s="26" t="s">
        <v>167</v>
      </c>
      <c r="C32" s="6" t="s">
        <v>166</v>
      </c>
      <c r="D32" s="6" t="s">
        <v>158</v>
      </c>
      <c r="F32" s="6" t="s">
        <v>32</v>
      </c>
      <c r="G32" s="6" t="s">
        <v>219</v>
      </c>
      <c r="H32" s="26" t="s">
        <v>220</v>
      </c>
      <c r="I32" s="6" t="s">
        <v>172</v>
      </c>
    </row>
    <row r="33">
      <c r="A33" s="6" t="s">
        <v>46</v>
      </c>
      <c r="B33" s="26" t="s">
        <v>175</v>
      </c>
      <c r="C33" s="6" t="s">
        <v>177</v>
      </c>
      <c r="D33" s="6" t="s">
        <v>154</v>
      </c>
      <c r="F33" s="6" t="s">
        <v>46</v>
      </c>
      <c r="G33" s="6" t="s">
        <v>181</v>
      </c>
      <c r="H33" s="26" t="s">
        <v>190</v>
      </c>
      <c r="I33" s="6" t="s">
        <v>177</v>
      </c>
    </row>
    <row r="34">
      <c r="A34" s="6" t="s">
        <v>57</v>
      </c>
      <c r="B34" s="26" t="s">
        <v>185</v>
      </c>
      <c r="C34" s="6" t="s">
        <v>177</v>
      </c>
      <c r="D34" s="6" t="s">
        <v>161</v>
      </c>
      <c r="F34" s="6" t="s">
        <v>57</v>
      </c>
      <c r="G34" s="6" t="s">
        <v>172</v>
      </c>
      <c r="H34" s="26" t="s">
        <v>227</v>
      </c>
      <c r="I34" s="6" t="s">
        <v>226</v>
      </c>
    </row>
    <row r="36">
      <c r="A36" s="16" t="s">
        <v>252</v>
      </c>
      <c r="B36" s="14"/>
      <c r="C36" s="14"/>
      <c r="D36" s="14"/>
      <c r="E36" s="14"/>
      <c r="F36" s="14"/>
      <c r="G36" s="14"/>
      <c r="H36" s="14"/>
      <c r="I36" s="14"/>
      <c r="J36" s="14"/>
      <c r="K36" s="14"/>
      <c r="L36" s="14"/>
      <c r="M36" s="14"/>
      <c r="N36" s="14"/>
      <c r="O36" s="14"/>
      <c r="P36" s="14"/>
      <c r="Q36" s="14"/>
      <c r="R36" s="14"/>
      <c r="S36" s="14"/>
      <c r="T36" s="14"/>
      <c r="U36" s="14"/>
      <c r="V36" s="14"/>
      <c r="W36" s="14"/>
      <c r="X36" s="14"/>
      <c r="Y36" s="14"/>
    </row>
    <row r="37">
      <c r="A37" s="28" t="s">
        <v>253</v>
      </c>
      <c r="B37" s="28" t="s">
        <v>41</v>
      </c>
      <c r="C37" s="28" t="s">
        <v>236</v>
      </c>
      <c r="D37" s="28" t="s">
        <v>255</v>
      </c>
      <c r="E37" s="28" t="s">
        <v>256</v>
      </c>
      <c r="F37" s="29"/>
      <c r="G37" s="29"/>
      <c r="H37" s="29"/>
      <c r="I37" s="29"/>
      <c r="J37" s="29"/>
    </row>
    <row r="38">
      <c r="A38" s="30" t="s">
        <v>258</v>
      </c>
      <c r="B38" s="30" t="s">
        <v>22</v>
      </c>
      <c r="C38" s="30" t="s">
        <v>26</v>
      </c>
      <c r="D38" s="30">
        <v>2.0</v>
      </c>
      <c r="E38" s="30">
        <v>2.0</v>
      </c>
      <c r="F38" s="31"/>
      <c r="G38" s="31"/>
      <c r="H38" s="31"/>
      <c r="I38" s="31"/>
      <c r="J38" s="31"/>
    </row>
    <row r="39">
      <c r="A39" s="32" t="s">
        <v>263</v>
      </c>
      <c r="B39" s="32" t="s">
        <v>22</v>
      </c>
      <c r="C39" s="32" t="s">
        <v>25</v>
      </c>
      <c r="D39" s="32">
        <v>1.0</v>
      </c>
      <c r="E39" s="32">
        <v>3.0</v>
      </c>
      <c r="F39" s="31"/>
      <c r="G39" s="31"/>
      <c r="H39" s="31"/>
      <c r="I39" s="31"/>
      <c r="J39" s="31"/>
    </row>
    <row r="40">
      <c r="A40" s="32" t="s">
        <v>266</v>
      </c>
      <c r="B40" s="32" t="s">
        <v>22</v>
      </c>
      <c r="C40" s="32" t="s">
        <v>27</v>
      </c>
      <c r="D40" s="32">
        <v>3.0</v>
      </c>
      <c r="E40" s="32">
        <v>1.0</v>
      </c>
      <c r="F40" s="31"/>
      <c r="G40" s="31"/>
      <c r="H40" s="31"/>
      <c r="I40" s="31"/>
      <c r="J40" s="31"/>
    </row>
    <row r="41">
      <c r="A41" s="32" t="s">
        <v>269</v>
      </c>
      <c r="B41" s="32" t="s">
        <v>32</v>
      </c>
      <c r="C41" s="32" t="s">
        <v>26</v>
      </c>
      <c r="D41" s="32">
        <v>3.0</v>
      </c>
      <c r="E41" s="32">
        <v>1.0</v>
      </c>
      <c r="F41" s="31"/>
      <c r="G41" s="31"/>
      <c r="H41" s="31"/>
      <c r="I41" s="31"/>
      <c r="J41" s="31"/>
    </row>
    <row r="42">
      <c r="A42" s="32" t="s">
        <v>271</v>
      </c>
      <c r="B42" s="32" t="s">
        <v>32</v>
      </c>
      <c r="C42" s="32" t="s">
        <v>25</v>
      </c>
      <c r="D42" s="32">
        <v>2.0</v>
      </c>
      <c r="E42" s="32">
        <v>2.0</v>
      </c>
    </row>
    <row r="43">
      <c r="A43" s="32" t="s">
        <v>272</v>
      </c>
      <c r="B43" s="32" t="s">
        <v>32</v>
      </c>
      <c r="C43" s="32" t="s">
        <v>27</v>
      </c>
      <c r="D43" s="32">
        <v>1.0</v>
      </c>
      <c r="E43" s="32">
        <v>3.0</v>
      </c>
    </row>
    <row r="44">
      <c r="A44" s="32" t="s">
        <v>274</v>
      </c>
      <c r="B44" s="32" t="s">
        <v>46</v>
      </c>
      <c r="C44" s="32" t="s">
        <v>26</v>
      </c>
      <c r="D44" s="32">
        <v>1.0</v>
      </c>
      <c r="E44" s="32">
        <v>3.0</v>
      </c>
    </row>
    <row r="45">
      <c r="A45" s="32" t="s">
        <v>276</v>
      </c>
      <c r="B45" s="32" t="s">
        <v>46</v>
      </c>
      <c r="C45" s="32" t="s">
        <v>25</v>
      </c>
      <c r="D45" s="32">
        <v>2.0</v>
      </c>
      <c r="E45" s="32">
        <v>2.0</v>
      </c>
    </row>
    <row r="46">
      <c r="A46" s="32" t="s">
        <v>279</v>
      </c>
      <c r="B46" s="32" t="s">
        <v>46</v>
      </c>
      <c r="C46" s="32" t="s">
        <v>27</v>
      </c>
      <c r="D46" s="32">
        <v>3.0</v>
      </c>
      <c r="E46" s="32">
        <v>1.0</v>
      </c>
    </row>
    <row r="47">
      <c r="A47" s="32" t="s">
        <v>281</v>
      </c>
      <c r="B47" s="32" t="s">
        <v>57</v>
      </c>
      <c r="C47" s="32" t="s">
        <v>26</v>
      </c>
      <c r="D47" s="32">
        <v>1.0</v>
      </c>
      <c r="E47" s="32">
        <v>3.0</v>
      </c>
    </row>
    <row r="48">
      <c r="A48" s="32" t="s">
        <v>282</v>
      </c>
      <c r="B48" s="32" t="s">
        <v>57</v>
      </c>
      <c r="C48" s="32" t="s">
        <v>25</v>
      </c>
      <c r="D48" s="32">
        <v>2.0</v>
      </c>
      <c r="E48" s="32">
        <v>2.0</v>
      </c>
    </row>
    <row r="49">
      <c r="A49" s="32" t="s">
        <v>284</v>
      </c>
      <c r="B49" s="32" t="s">
        <v>57</v>
      </c>
      <c r="C49" s="32" t="s">
        <v>27</v>
      </c>
      <c r="D49" s="32">
        <v>3.0</v>
      </c>
      <c r="E49" s="32">
        <v>1.0</v>
      </c>
    </row>
    <row r="50">
      <c r="A50" s="32"/>
      <c r="B50" s="32"/>
      <c r="C50" s="32"/>
      <c r="D50" s="32"/>
      <c r="E50" s="3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8.88"/>
    <col customWidth="1" min="3" max="3" width="6.88"/>
    <col customWidth="1" min="4" max="4" width="6.75"/>
    <col customWidth="1" min="5" max="5" width="7.63"/>
    <col customWidth="1" min="6" max="6" width="6.5"/>
    <col customWidth="1" min="7" max="7" width="6.75"/>
    <col customWidth="1" min="8" max="8" width="6.63"/>
    <col customWidth="1" min="9" max="9" width="13.88"/>
    <col customWidth="1" min="10" max="10" width="5.5"/>
    <col customWidth="1" min="11" max="11" width="6.38"/>
    <col customWidth="1" min="12" max="12" width="6.75"/>
    <col customWidth="1" min="13" max="13" width="6.88"/>
    <col customWidth="1" min="14" max="14" width="8.75"/>
    <col customWidth="1" min="15" max="15" width="6.25"/>
    <col customWidth="1" min="16" max="16" width="8.38"/>
    <col customWidth="1" min="17" max="17" width="7.5"/>
    <col customWidth="1" min="18" max="18" width="9.38"/>
    <col customWidth="1" min="19" max="19" width="7.25"/>
    <col customWidth="1" min="20" max="20" width="6.13"/>
    <col customWidth="1" min="21" max="21" width="7.38"/>
    <col customWidth="1" min="22" max="22" width="7.5"/>
    <col customWidth="1" min="23" max="23" width="7.38"/>
    <col customWidth="1" min="24" max="24" width="7.0"/>
    <col customWidth="1" min="25" max="25" width="6.38"/>
    <col customWidth="1" min="26" max="26" width="7.38"/>
    <col customWidth="1" min="27" max="27" width="7.25"/>
    <col customWidth="1" min="28" max="28" width="6.38"/>
    <col customWidth="1" min="29" max="29" width="7.88"/>
    <col customWidth="1" min="30" max="30" width="6.88"/>
    <col customWidth="1" min="31" max="31" width="7.38"/>
    <col customWidth="1" min="32" max="33" width="7.25"/>
    <col customWidth="1" min="34" max="34" width="8.25"/>
    <col customWidth="1" min="35" max="35" width="6.75"/>
    <col customWidth="1" min="36" max="36" width="7.5"/>
    <col customWidth="1" min="37" max="37" width="6.63"/>
    <col customWidth="1" min="38" max="38" width="7.38"/>
    <col customWidth="1" min="39" max="39" width="8.75"/>
    <col customWidth="1" min="40" max="40" width="7.0"/>
    <col customWidth="1" min="41" max="41" width="7.63"/>
    <col customWidth="1" min="42" max="42" width="6.88"/>
    <col customWidth="1" min="43" max="43" width="7.5"/>
    <col customWidth="1" min="44" max="45" width="6.5"/>
    <col customWidth="1" min="46" max="46" width="20.63"/>
    <col customWidth="1" min="47" max="47" width="20.25"/>
  </cols>
  <sheetData>
    <row r="1">
      <c r="A1" s="1"/>
      <c r="B1" s="1" t="s">
        <v>2</v>
      </c>
      <c r="C1" s="1" t="s">
        <v>3</v>
      </c>
      <c r="D1" s="1" t="s">
        <v>4</v>
      </c>
      <c r="E1" s="1" t="s">
        <v>6</v>
      </c>
      <c r="F1" s="1" t="s">
        <v>7</v>
      </c>
      <c r="G1" s="1" t="s">
        <v>8</v>
      </c>
      <c r="H1" s="1" t="s">
        <v>9</v>
      </c>
      <c r="I1" s="1" t="s">
        <v>11</v>
      </c>
      <c r="J1" s="1" t="s">
        <v>13</v>
      </c>
      <c r="K1" s="1" t="s">
        <v>16</v>
      </c>
      <c r="L1" s="1" t="s">
        <v>19</v>
      </c>
      <c r="M1" s="1" t="s">
        <v>21</v>
      </c>
      <c r="N1" s="1" t="s">
        <v>24</v>
      </c>
      <c r="O1" s="1" t="s">
        <v>35</v>
      </c>
      <c r="P1" s="1" t="s">
        <v>29</v>
      </c>
      <c r="Q1" s="1" t="s">
        <v>31</v>
      </c>
      <c r="R1" s="1" t="s">
        <v>33</v>
      </c>
      <c r="S1" s="1" t="s">
        <v>49</v>
      </c>
      <c r="T1" s="1" t="s">
        <v>51</v>
      </c>
      <c r="U1" s="1" t="s">
        <v>36</v>
      </c>
      <c r="V1" s="1" t="s">
        <v>38</v>
      </c>
      <c r="W1" s="1" t="s">
        <v>40</v>
      </c>
      <c r="X1" s="1" t="s">
        <v>59</v>
      </c>
      <c r="Y1" s="1" t="s">
        <v>62</v>
      </c>
      <c r="Z1" s="1" t="s">
        <v>42</v>
      </c>
      <c r="AA1" s="1" t="s">
        <v>44</v>
      </c>
      <c r="AB1" s="1" t="s">
        <v>47</v>
      </c>
      <c r="AC1" s="1" t="s">
        <v>66</v>
      </c>
      <c r="AD1" s="1" t="s">
        <v>68</v>
      </c>
      <c r="AE1" s="1" t="s">
        <v>50</v>
      </c>
      <c r="AF1" s="1" t="s">
        <v>53</v>
      </c>
      <c r="AG1" s="1" t="s">
        <v>54</v>
      </c>
      <c r="AH1" s="1" t="s">
        <v>70</v>
      </c>
      <c r="AI1" s="1" t="s">
        <v>71</v>
      </c>
      <c r="AJ1" s="1" t="s">
        <v>55</v>
      </c>
      <c r="AK1" s="1" t="s">
        <v>56</v>
      </c>
      <c r="AL1" s="1" t="s">
        <v>58</v>
      </c>
      <c r="AM1" s="1" t="s">
        <v>74</v>
      </c>
      <c r="AN1" s="1" t="s">
        <v>76</v>
      </c>
      <c r="AO1" s="1" t="s">
        <v>60</v>
      </c>
      <c r="AP1" s="1" t="s">
        <v>63</v>
      </c>
      <c r="AQ1" s="1" t="s">
        <v>64</v>
      </c>
      <c r="AR1" s="1" t="s">
        <v>87</v>
      </c>
      <c r="AS1" s="1" t="s">
        <v>88</v>
      </c>
      <c r="AT1" s="1"/>
      <c r="AU1" s="1"/>
    </row>
    <row r="2">
      <c r="A2" s="17" t="s">
        <v>90</v>
      </c>
      <c r="B2" s="17" t="s">
        <v>94</v>
      </c>
      <c r="C2" s="17" t="s">
        <v>97</v>
      </c>
      <c r="D2" s="17" t="s">
        <v>100</v>
      </c>
      <c r="E2" s="17" t="s">
        <v>102</v>
      </c>
      <c r="F2" s="17" t="s">
        <v>104</v>
      </c>
      <c r="G2" s="17" t="s">
        <v>107</v>
      </c>
      <c r="H2" s="17" t="s">
        <v>109</v>
      </c>
      <c r="I2" s="17" t="s">
        <v>112</v>
      </c>
      <c r="J2" s="17" t="s">
        <v>116</v>
      </c>
      <c r="K2" s="17" t="s">
        <v>119</v>
      </c>
      <c r="L2" s="17" t="s">
        <v>121</v>
      </c>
      <c r="M2" s="17" t="s">
        <v>126</v>
      </c>
      <c r="N2" s="17" t="s">
        <v>130</v>
      </c>
      <c r="O2" s="17" t="s">
        <v>132</v>
      </c>
      <c r="P2" s="17" t="s">
        <v>135</v>
      </c>
      <c r="Q2" s="17" t="s">
        <v>137</v>
      </c>
      <c r="R2" s="17" t="s">
        <v>140</v>
      </c>
      <c r="S2" s="17" t="s">
        <v>141</v>
      </c>
      <c r="T2" s="17" t="s">
        <v>142</v>
      </c>
      <c r="U2" s="17" t="s">
        <v>144</v>
      </c>
      <c r="V2" s="17" t="s">
        <v>145</v>
      </c>
      <c r="W2" s="17" t="s">
        <v>147</v>
      </c>
      <c r="X2" s="17" t="s">
        <v>150</v>
      </c>
      <c r="Y2" s="17" t="s">
        <v>151</v>
      </c>
      <c r="Z2" s="17" t="s">
        <v>152</v>
      </c>
      <c r="AA2" s="17" t="s">
        <v>156</v>
      </c>
      <c r="AB2" s="17" t="s">
        <v>157</v>
      </c>
      <c r="AC2" s="17" t="s">
        <v>160</v>
      </c>
      <c r="AD2" s="17" t="s">
        <v>163</v>
      </c>
      <c r="AE2" s="17" t="s">
        <v>165</v>
      </c>
      <c r="AF2" s="17" t="s">
        <v>168</v>
      </c>
      <c r="AG2" s="17" t="s">
        <v>170</v>
      </c>
      <c r="AH2" s="17" t="s">
        <v>173</v>
      </c>
      <c r="AI2" s="17" t="s">
        <v>176</v>
      </c>
      <c r="AJ2" s="17" t="s">
        <v>178</v>
      </c>
      <c r="AK2" s="17" t="s">
        <v>182</v>
      </c>
      <c r="AL2" s="17" t="s">
        <v>183</v>
      </c>
      <c r="AM2" s="17" t="s">
        <v>186</v>
      </c>
      <c r="AN2" s="17" t="s">
        <v>188</v>
      </c>
      <c r="AO2" s="17" t="s">
        <v>191</v>
      </c>
      <c r="AP2" s="17" t="s">
        <v>193</v>
      </c>
      <c r="AQ2" s="17" t="s">
        <v>196</v>
      </c>
      <c r="AR2" s="17" t="s">
        <v>199</v>
      </c>
      <c r="AS2" s="17" t="s">
        <v>200</v>
      </c>
      <c r="AT2" s="17" t="s">
        <v>201</v>
      </c>
      <c r="AU2" s="17" t="s">
        <v>202</v>
      </c>
    </row>
    <row r="3">
      <c r="A3" s="11">
        <v>15.0</v>
      </c>
      <c r="B3" s="13" t="s">
        <v>203</v>
      </c>
      <c r="C3" s="13" t="s">
        <v>204</v>
      </c>
      <c r="D3" s="13" t="s">
        <v>206</v>
      </c>
      <c r="E3" s="13" t="s">
        <v>207</v>
      </c>
      <c r="F3" s="13" t="s">
        <v>25</v>
      </c>
      <c r="G3" s="13" t="s">
        <v>27</v>
      </c>
      <c r="H3" s="13" t="s">
        <v>26</v>
      </c>
      <c r="I3" s="13" t="s">
        <v>216</v>
      </c>
      <c r="J3" s="13">
        <v>1.0</v>
      </c>
      <c r="K3" s="13" t="s">
        <v>27</v>
      </c>
      <c r="L3" s="13" t="s">
        <v>25</v>
      </c>
      <c r="M3" s="13" t="s">
        <v>26</v>
      </c>
      <c r="N3" s="13" t="s">
        <v>221</v>
      </c>
      <c r="O3" s="13">
        <v>1.0</v>
      </c>
      <c r="P3" s="13" t="s">
        <v>26</v>
      </c>
      <c r="Q3" s="13" t="s">
        <v>27</v>
      </c>
      <c r="R3" s="13" t="s">
        <v>25</v>
      </c>
      <c r="S3" s="13" t="s">
        <v>225</v>
      </c>
      <c r="T3" s="13">
        <v>5.0</v>
      </c>
      <c r="U3" s="13" t="s">
        <v>25</v>
      </c>
      <c r="V3" s="13" t="s">
        <v>27</v>
      </c>
      <c r="W3" s="13" t="s">
        <v>26</v>
      </c>
      <c r="X3" s="13" t="s">
        <v>232</v>
      </c>
      <c r="Y3" s="13">
        <v>1.0</v>
      </c>
      <c r="Z3" s="13" t="s">
        <v>27</v>
      </c>
      <c r="AA3" s="13" t="s">
        <v>25</v>
      </c>
      <c r="AB3" s="13" t="s">
        <v>26</v>
      </c>
      <c r="AC3" s="13" t="s">
        <v>237</v>
      </c>
      <c r="AD3" s="13">
        <v>2.0</v>
      </c>
      <c r="AE3" s="13" t="s">
        <v>26</v>
      </c>
      <c r="AF3" s="13" t="s">
        <v>25</v>
      </c>
      <c r="AG3" s="13" t="s">
        <v>27</v>
      </c>
      <c r="AH3" s="13" t="s">
        <v>249</v>
      </c>
      <c r="AI3" s="13">
        <v>1.0</v>
      </c>
      <c r="AJ3" s="13" t="s">
        <v>25</v>
      </c>
      <c r="AK3" s="13" t="s">
        <v>27</v>
      </c>
      <c r="AL3" s="13" t="s">
        <v>26</v>
      </c>
      <c r="AM3" s="13" t="s">
        <v>250</v>
      </c>
      <c r="AN3" s="13">
        <v>2.0</v>
      </c>
      <c r="AO3" s="13" t="s">
        <v>27</v>
      </c>
      <c r="AP3" s="13" t="s">
        <v>25</v>
      </c>
      <c r="AQ3" s="13" t="s">
        <v>26</v>
      </c>
      <c r="AR3" s="13" t="s">
        <v>251</v>
      </c>
      <c r="AS3" s="13">
        <v>1.0</v>
      </c>
      <c r="AT3" s="27">
        <v>46204.494409722225</v>
      </c>
      <c r="AU3" s="27">
        <v>46204.509571759256</v>
      </c>
    </row>
    <row r="4">
      <c r="A4" s="11">
        <v>17.0</v>
      </c>
      <c r="B4" s="13" t="s">
        <v>203</v>
      </c>
      <c r="C4" s="13" t="s">
        <v>206</v>
      </c>
      <c r="D4" s="13" t="s">
        <v>204</v>
      </c>
      <c r="E4" s="13" t="s">
        <v>254</v>
      </c>
      <c r="F4" s="13" t="s">
        <v>25</v>
      </c>
      <c r="G4" s="13" t="s">
        <v>27</v>
      </c>
      <c r="H4" s="13" t="s">
        <v>26</v>
      </c>
      <c r="I4" s="13" t="s">
        <v>257</v>
      </c>
      <c r="J4" s="13">
        <v>4.0</v>
      </c>
      <c r="K4" s="13" t="s">
        <v>27</v>
      </c>
      <c r="L4" s="13" t="s">
        <v>25</v>
      </c>
      <c r="M4" s="13" t="s">
        <v>26</v>
      </c>
      <c r="N4" s="13" t="s">
        <v>259</v>
      </c>
      <c r="O4" s="13">
        <v>4.0</v>
      </c>
      <c r="P4" s="13" t="s">
        <v>26</v>
      </c>
      <c r="Q4" s="13" t="s">
        <v>27</v>
      </c>
      <c r="R4" s="13" t="s">
        <v>25</v>
      </c>
      <c r="S4" s="13" t="s">
        <v>259</v>
      </c>
      <c r="T4" s="13">
        <v>4.0</v>
      </c>
      <c r="U4" s="13" t="s">
        <v>26</v>
      </c>
      <c r="V4" s="13" t="s">
        <v>25</v>
      </c>
      <c r="W4" s="13" t="s">
        <v>27</v>
      </c>
      <c r="X4" s="13" t="s">
        <v>267</v>
      </c>
      <c r="Y4" s="13">
        <v>4.0</v>
      </c>
      <c r="Z4" s="13" t="s">
        <v>25</v>
      </c>
      <c r="AA4" s="13" t="s">
        <v>26</v>
      </c>
      <c r="AB4" s="13" t="s">
        <v>27</v>
      </c>
      <c r="AC4" s="13" t="s">
        <v>268</v>
      </c>
      <c r="AD4" s="13">
        <v>5.0</v>
      </c>
      <c r="AE4" s="13" t="s">
        <v>27</v>
      </c>
      <c r="AF4" s="13" t="s">
        <v>26</v>
      </c>
      <c r="AG4" s="13" t="s">
        <v>25</v>
      </c>
      <c r="AH4" s="13" t="s">
        <v>270</v>
      </c>
      <c r="AI4" s="13">
        <v>5.0</v>
      </c>
      <c r="AJ4" s="13" t="s">
        <v>25</v>
      </c>
      <c r="AK4" s="13" t="s">
        <v>27</v>
      </c>
      <c r="AL4" s="13" t="s">
        <v>26</v>
      </c>
      <c r="AM4" s="13" t="s">
        <v>273</v>
      </c>
      <c r="AN4" s="13">
        <v>4.0</v>
      </c>
      <c r="AO4" s="13" t="s">
        <v>26</v>
      </c>
      <c r="AP4" s="13" t="s">
        <v>25</v>
      </c>
      <c r="AQ4" s="13" t="s">
        <v>27</v>
      </c>
      <c r="AR4" s="13" t="s">
        <v>275</v>
      </c>
      <c r="AS4" s="13">
        <v>5.0</v>
      </c>
      <c r="AT4" s="27">
        <v>46204.49556712963</v>
      </c>
      <c r="AU4" s="27">
        <v>46204.517488425925</v>
      </c>
    </row>
    <row r="5">
      <c r="A5" s="11">
        <v>18.0</v>
      </c>
      <c r="B5" s="13" t="s">
        <v>204</v>
      </c>
      <c r="C5" s="13" t="s">
        <v>203</v>
      </c>
      <c r="D5" s="13" t="s">
        <v>206</v>
      </c>
      <c r="E5" s="13" t="s">
        <v>277</v>
      </c>
      <c r="F5" s="13" t="s">
        <v>25</v>
      </c>
      <c r="G5" s="13" t="s">
        <v>26</v>
      </c>
      <c r="H5" s="13" t="s">
        <v>27</v>
      </c>
      <c r="I5" s="13" t="s">
        <v>278</v>
      </c>
      <c r="J5" s="13">
        <v>1.0</v>
      </c>
      <c r="K5" s="13" t="s">
        <v>27</v>
      </c>
      <c r="L5" s="13" t="s">
        <v>25</v>
      </c>
      <c r="M5" s="13" t="s">
        <v>26</v>
      </c>
      <c r="N5" s="13" t="s">
        <v>280</v>
      </c>
      <c r="O5" s="13">
        <v>1.0</v>
      </c>
      <c r="P5" s="13" t="s">
        <v>26</v>
      </c>
      <c r="Q5" s="13" t="s">
        <v>25</v>
      </c>
      <c r="R5" s="13" t="s">
        <v>27</v>
      </c>
      <c r="S5" s="13" t="s">
        <v>283</v>
      </c>
      <c r="T5" s="13">
        <v>1.0</v>
      </c>
      <c r="U5" s="13" t="s">
        <v>26</v>
      </c>
      <c r="V5" s="13" t="s">
        <v>25</v>
      </c>
      <c r="W5" s="13" t="s">
        <v>27</v>
      </c>
      <c r="X5" s="13" t="s">
        <v>285</v>
      </c>
      <c r="Y5" s="13">
        <v>1.0</v>
      </c>
      <c r="Z5" s="13" t="s">
        <v>26</v>
      </c>
      <c r="AA5" s="13" t="s">
        <v>25</v>
      </c>
      <c r="AB5" s="13" t="s">
        <v>27</v>
      </c>
      <c r="AC5" s="13" t="s">
        <v>286</v>
      </c>
      <c r="AD5" s="13">
        <v>1.0</v>
      </c>
      <c r="AE5" s="13" t="s">
        <v>26</v>
      </c>
      <c r="AF5" s="13" t="s">
        <v>25</v>
      </c>
      <c r="AG5" s="13" t="s">
        <v>27</v>
      </c>
      <c r="AH5" s="13" t="s">
        <v>287</v>
      </c>
      <c r="AI5" s="13">
        <v>1.0</v>
      </c>
      <c r="AJ5" s="13" t="s">
        <v>25</v>
      </c>
      <c r="AK5" s="13" t="s">
        <v>27</v>
      </c>
      <c r="AL5" s="13" t="s">
        <v>26</v>
      </c>
      <c r="AM5" s="13" t="s">
        <v>288</v>
      </c>
      <c r="AN5" s="13">
        <v>1.0</v>
      </c>
      <c r="AO5" s="13" t="s">
        <v>25</v>
      </c>
      <c r="AP5" s="13" t="s">
        <v>27</v>
      </c>
      <c r="AQ5" s="13" t="s">
        <v>26</v>
      </c>
      <c r="AR5" s="13" t="s">
        <v>289</v>
      </c>
      <c r="AS5" s="13">
        <v>1.0</v>
      </c>
      <c r="AT5" s="27">
        <v>46204.49696759259</v>
      </c>
      <c r="AU5" s="27">
        <v>46204.51163194444</v>
      </c>
    </row>
    <row r="6">
      <c r="A6" s="11">
        <v>20.0</v>
      </c>
      <c r="B6" s="13" t="s">
        <v>203</v>
      </c>
      <c r="C6" s="33"/>
      <c r="D6" s="33"/>
      <c r="E6" s="13" t="s">
        <v>290</v>
      </c>
      <c r="F6" s="13" t="s">
        <v>25</v>
      </c>
      <c r="G6" s="13" t="s">
        <v>27</v>
      </c>
      <c r="H6" s="13" t="s">
        <v>26</v>
      </c>
      <c r="I6" s="13" t="s">
        <v>291</v>
      </c>
      <c r="J6" s="13">
        <v>1.0</v>
      </c>
      <c r="K6" s="13" t="s">
        <v>27</v>
      </c>
      <c r="L6" s="13" t="s">
        <v>25</v>
      </c>
      <c r="M6" s="13" t="s">
        <v>26</v>
      </c>
      <c r="N6" s="13" t="s">
        <v>292</v>
      </c>
      <c r="O6" s="13">
        <v>1.0</v>
      </c>
      <c r="P6" s="13" t="s">
        <v>26</v>
      </c>
      <c r="Q6" s="13" t="s">
        <v>25</v>
      </c>
      <c r="R6" s="13" t="s">
        <v>27</v>
      </c>
      <c r="S6" s="13" t="s">
        <v>293</v>
      </c>
      <c r="T6" s="13">
        <v>1.0</v>
      </c>
      <c r="U6" s="13" t="s">
        <v>26</v>
      </c>
      <c r="V6" s="13" t="s">
        <v>25</v>
      </c>
      <c r="W6" s="13" t="s">
        <v>27</v>
      </c>
      <c r="X6" s="13" t="s">
        <v>294</v>
      </c>
      <c r="Y6" s="13">
        <v>1.0</v>
      </c>
      <c r="Z6" s="13" t="s">
        <v>27</v>
      </c>
      <c r="AA6" s="13" t="s">
        <v>26</v>
      </c>
      <c r="AB6" s="13" t="s">
        <v>25</v>
      </c>
      <c r="AC6" s="13" t="s">
        <v>295</v>
      </c>
      <c r="AD6" s="13">
        <v>3.0</v>
      </c>
      <c r="AE6" s="13" t="s">
        <v>26</v>
      </c>
      <c r="AF6" s="13" t="s">
        <v>25</v>
      </c>
      <c r="AG6" s="13" t="s">
        <v>27</v>
      </c>
      <c r="AH6" s="13" t="s">
        <v>296</v>
      </c>
      <c r="AI6" s="13">
        <v>3.0</v>
      </c>
      <c r="AJ6" s="13" t="s">
        <v>27</v>
      </c>
      <c r="AK6" s="13" t="s">
        <v>25</v>
      </c>
      <c r="AL6" s="13" t="s">
        <v>26</v>
      </c>
      <c r="AM6" s="13" t="s">
        <v>297</v>
      </c>
      <c r="AN6" s="13">
        <v>3.0</v>
      </c>
      <c r="AO6" s="13" t="s">
        <v>25</v>
      </c>
      <c r="AP6" s="13" t="s">
        <v>27</v>
      </c>
      <c r="AQ6" s="13" t="s">
        <v>26</v>
      </c>
      <c r="AR6" s="13" t="s">
        <v>298</v>
      </c>
      <c r="AS6" s="13">
        <v>3.0</v>
      </c>
      <c r="AT6" s="27">
        <v>46204.50015046296</v>
      </c>
      <c r="AU6" s="27">
        <v>46204.508356481485</v>
      </c>
    </row>
    <row r="7">
      <c r="A7" s="11">
        <v>21.0</v>
      </c>
      <c r="B7" s="13" t="s">
        <v>203</v>
      </c>
      <c r="C7" s="13" t="s">
        <v>206</v>
      </c>
      <c r="D7" s="13" t="s">
        <v>204</v>
      </c>
      <c r="E7" s="13" t="s">
        <v>299</v>
      </c>
      <c r="F7" s="13" t="s">
        <v>25</v>
      </c>
      <c r="G7" s="13" t="s">
        <v>27</v>
      </c>
      <c r="H7" s="13" t="s">
        <v>26</v>
      </c>
      <c r="I7" s="13" t="s">
        <v>300</v>
      </c>
      <c r="J7" s="13">
        <v>1.0</v>
      </c>
      <c r="K7" s="13" t="s">
        <v>27</v>
      </c>
      <c r="L7" s="13" t="s">
        <v>25</v>
      </c>
      <c r="M7" s="13" t="s">
        <v>26</v>
      </c>
      <c r="N7" s="13" t="s">
        <v>301</v>
      </c>
      <c r="O7" s="13">
        <v>1.0</v>
      </c>
      <c r="P7" s="13" t="s">
        <v>26</v>
      </c>
      <c r="Q7" s="13" t="s">
        <v>25</v>
      </c>
      <c r="R7" s="13" t="s">
        <v>27</v>
      </c>
      <c r="S7" s="13" t="s">
        <v>302</v>
      </c>
      <c r="T7" s="13">
        <v>1.0</v>
      </c>
      <c r="U7" s="13" t="s">
        <v>26</v>
      </c>
      <c r="V7" s="13" t="s">
        <v>25</v>
      </c>
      <c r="W7" s="13" t="s">
        <v>27</v>
      </c>
      <c r="X7" s="13" t="s">
        <v>303</v>
      </c>
      <c r="Y7" s="13">
        <v>1.0</v>
      </c>
      <c r="Z7" s="13" t="s">
        <v>27</v>
      </c>
      <c r="AA7" s="13" t="s">
        <v>25</v>
      </c>
      <c r="AB7" s="13" t="s">
        <v>26</v>
      </c>
      <c r="AC7" s="13" t="s">
        <v>304</v>
      </c>
      <c r="AD7" s="13">
        <v>2.0</v>
      </c>
      <c r="AE7" s="13" t="s">
        <v>25</v>
      </c>
      <c r="AF7" s="13" t="s">
        <v>26</v>
      </c>
      <c r="AG7" s="13" t="s">
        <v>27</v>
      </c>
      <c r="AH7" s="13" t="s">
        <v>305</v>
      </c>
      <c r="AI7" s="13">
        <v>2.0</v>
      </c>
      <c r="AJ7" s="13" t="s">
        <v>26</v>
      </c>
      <c r="AK7" s="13" t="s">
        <v>25</v>
      </c>
      <c r="AL7" s="13" t="s">
        <v>27</v>
      </c>
      <c r="AM7" s="13" t="s">
        <v>306</v>
      </c>
      <c r="AN7" s="13">
        <v>2.0</v>
      </c>
      <c r="AO7" s="13" t="s">
        <v>25</v>
      </c>
      <c r="AP7" s="13" t="s">
        <v>26</v>
      </c>
      <c r="AQ7" s="13" t="s">
        <v>27</v>
      </c>
      <c r="AR7" s="13" t="s">
        <v>307</v>
      </c>
      <c r="AS7" s="13">
        <v>2.0</v>
      </c>
      <c r="AT7" s="27">
        <v>46204.5003125</v>
      </c>
      <c r="AU7" s="27">
        <v>46204.514085648145</v>
      </c>
    </row>
    <row r="8">
      <c r="A8" s="11">
        <v>22.0</v>
      </c>
      <c r="B8" s="13" t="s">
        <v>204</v>
      </c>
      <c r="C8" s="13" t="s">
        <v>203</v>
      </c>
      <c r="D8" s="13" t="s">
        <v>206</v>
      </c>
      <c r="E8" s="13" t="s">
        <v>308</v>
      </c>
      <c r="F8" s="13" t="s">
        <v>25</v>
      </c>
      <c r="G8" s="13" t="s">
        <v>27</v>
      </c>
      <c r="H8" s="13" t="s">
        <v>26</v>
      </c>
      <c r="I8" s="13" t="s">
        <v>309</v>
      </c>
      <c r="J8" s="13">
        <v>1.0</v>
      </c>
      <c r="K8" s="13" t="s">
        <v>27</v>
      </c>
      <c r="L8" s="13" t="s">
        <v>25</v>
      </c>
      <c r="M8" s="13" t="s">
        <v>26</v>
      </c>
      <c r="N8" s="13" t="s">
        <v>310</v>
      </c>
      <c r="O8" s="13">
        <v>1.0</v>
      </c>
      <c r="P8" s="13" t="s">
        <v>26</v>
      </c>
      <c r="Q8" s="13" t="s">
        <v>25</v>
      </c>
      <c r="R8" s="13" t="s">
        <v>27</v>
      </c>
      <c r="S8" s="13" t="s">
        <v>311</v>
      </c>
      <c r="T8" s="13">
        <v>1.0</v>
      </c>
      <c r="U8" s="13" t="s">
        <v>26</v>
      </c>
      <c r="V8" s="13" t="s">
        <v>25</v>
      </c>
      <c r="W8" s="13" t="s">
        <v>27</v>
      </c>
      <c r="X8" s="13" t="s">
        <v>310</v>
      </c>
      <c r="Y8" s="13">
        <v>1.0</v>
      </c>
      <c r="Z8" s="13" t="s">
        <v>25</v>
      </c>
      <c r="AA8" s="13" t="s">
        <v>26</v>
      </c>
      <c r="AB8" s="13" t="s">
        <v>27</v>
      </c>
      <c r="AC8" s="13" t="s">
        <v>312</v>
      </c>
      <c r="AD8" s="13">
        <v>3.0</v>
      </c>
      <c r="AE8" s="13" t="s">
        <v>25</v>
      </c>
      <c r="AF8" s="13" t="s">
        <v>26</v>
      </c>
      <c r="AG8" s="13" t="s">
        <v>27</v>
      </c>
      <c r="AH8" s="13" t="s">
        <v>313</v>
      </c>
      <c r="AI8" s="13">
        <v>4.0</v>
      </c>
      <c r="AJ8" s="13" t="s">
        <v>26</v>
      </c>
      <c r="AK8" s="13" t="s">
        <v>25</v>
      </c>
      <c r="AL8" s="13" t="s">
        <v>27</v>
      </c>
      <c r="AM8" s="13" t="s">
        <v>314</v>
      </c>
      <c r="AN8" s="13">
        <v>4.0</v>
      </c>
      <c r="AO8" s="13" t="s">
        <v>25</v>
      </c>
      <c r="AP8" s="13" t="s">
        <v>26</v>
      </c>
      <c r="AQ8" s="13" t="s">
        <v>27</v>
      </c>
      <c r="AR8" s="13" t="s">
        <v>315</v>
      </c>
      <c r="AS8" s="13">
        <v>4.0</v>
      </c>
      <c r="AT8" s="27">
        <v>46204.50202546296</v>
      </c>
      <c r="AU8" s="27">
        <v>46204.51384259259</v>
      </c>
    </row>
    <row r="9">
      <c r="A9" s="11">
        <v>23.0</v>
      </c>
      <c r="B9" s="13" t="s">
        <v>204</v>
      </c>
      <c r="C9" s="13" t="s">
        <v>203</v>
      </c>
      <c r="D9" s="13" t="s">
        <v>206</v>
      </c>
      <c r="E9" s="13" t="s">
        <v>316</v>
      </c>
      <c r="F9" s="13" t="s">
        <v>25</v>
      </c>
      <c r="G9" s="13" t="s">
        <v>26</v>
      </c>
      <c r="H9" s="13" t="s">
        <v>27</v>
      </c>
      <c r="I9" s="13" t="s">
        <v>316</v>
      </c>
      <c r="J9" s="13">
        <v>1.0</v>
      </c>
      <c r="K9" s="13" t="s">
        <v>27</v>
      </c>
      <c r="L9" s="13" t="s">
        <v>25</v>
      </c>
      <c r="M9" s="13" t="s">
        <v>26</v>
      </c>
      <c r="N9" s="13" t="s">
        <v>316</v>
      </c>
      <c r="O9" s="13">
        <v>1.0</v>
      </c>
      <c r="P9" s="13" t="s">
        <v>26</v>
      </c>
      <c r="Q9" s="13" t="s">
        <v>27</v>
      </c>
      <c r="R9" s="13" t="s">
        <v>25</v>
      </c>
      <c r="S9" s="13" t="s">
        <v>317</v>
      </c>
      <c r="T9" s="13">
        <v>2.0</v>
      </c>
      <c r="U9" s="13" t="s">
        <v>26</v>
      </c>
      <c r="V9" s="13" t="s">
        <v>27</v>
      </c>
      <c r="W9" s="13" t="s">
        <v>25</v>
      </c>
      <c r="X9" s="13" t="s">
        <v>316</v>
      </c>
      <c r="Y9" s="13">
        <v>1.0</v>
      </c>
      <c r="Z9" s="13" t="s">
        <v>26</v>
      </c>
      <c r="AA9" s="13" t="s">
        <v>27</v>
      </c>
      <c r="AB9" s="13" t="s">
        <v>25</v>
      </c>
      <c r="AC9" s="13" t="s">
        <v>318</v>
      </c>
      <c r="AD9" s="13">
        <v>3.0</v>
      </c>
      <c r="AE9" s="13" t="s">
        <v>25</v>
      </c>
      <c r="AF9" s="13" t="s">
        <v>27</v>
      </c>
      <c r="AG9" s="13" t="s">
        <v>26</v>
      </c>
      <c r="AH9" s="33"/>
      <c r="AI9" s="13">
        <v>3.0</v>
      </c>
      <c r="AJ9" s="13" t="s">
        <v>25</v>
      </c>
      <c r="AK9" s="13" t="s">
        <v>27</v>
      </c>
      <c r="AL9" s="13" t="s">
        <v>26</v>
      </c>
      <c r="AM9" s="13" t="s">
        <v>319</v>
      </c>
      <c r="AN9" s="13">
        <v>3.0</v>
      </c>
      <c r="AO9" s="13" t="s">
        <v>25</v>
      </c>
      <c r="AP9" s="13" t="s">
        <v>27</v>
      </c>
      <c r="AQ9" s="13" t="s">
        <v>26</v>
      </c>
      <c r="AR9" s="13" t="s">
        <v>320</v>
      </c>
      <c r="AS9" s="13">
        <v>3.0</v>
      </c>
      <c r="AT9" s="27">
        <v>46204.51195601852</v>
      </c>
      <c r="AU9" s="27">
        <v>46204.52353009259</v>
      </c>
    </row>
    <row r="10">
      <c r="A10" s="11">
        <v>24.0</v>
      </c>
      <c r="B10" s="13" t="s">
        <v>203</v>
      </c>
      <c r="C10" s="13" t="s">
        <v>204</v>
      </c>
      <c r="D10" s="13" t="s">
        <v>206</v>
      </c>
      <c r="E10" s="13" t="s">
        <v>321</v>
      </c>
      <c r="F10" s="13" t="s">
        <v>25</v>
      </c>
      <c r="G10" s="13" t="s">
        <v>26</v>
      </c>
      <c r="H10" s="13" t="s">
        <v>27</v>
      </c>
      <c r="I10" s="35" t="s">
        <v>322</v>
      </c>
      <c r="J10" s="13">
        <v>2.0</v>
      </c>
      <c r="K10" s="13" t="s">
        <v>25</v>
      </c>
      <c r="L10" s="13" t="s">
        <v>27</v>
      </c>
      <c r="M10" s="13" t="s">
        <v>26</v>
      </c>
      <c r="N10" s="13" t="s">
        <v>323</v>
      </c>
      <c r="O10" s="13">
        <v>2.0</v>
      </c>
      <c r="P10" s="13" t="s">
        <v>26</v>
      </c>
      <c r="Q10" s="13" t="s">
        <v>25</v>
      </c>
      <c r="R10" s="13" t="s">
        <v>27</v>
      </c>
      <c r="S10" s="13" t="s">
        <v>324</v>
      </c>
      <c r="T10" s="13">
        <v>2.0</v>
      </c>
      <c r="U10" s="13" t="s">
        <v>26</v>
      </c>
      <c r="V10" s="13" t="s">
        <v>25</v>
      </c>
      <c r="W10" s="13" t="s">
        <v>27</v>
      </c>
      <c r="X10" s="35" t="s">
        <v>325</v>
      </c>
      <c r="Y10" s="13">
        <v>3.0</v>
      </c>
      <c r="Z10" s="13" t="s">
        <v>26</v>
      </c>
      <c r="AA10" s="13" t="s">
        <v>27</v>
      </c>
      <c r="AB10" s="13" t="s">
        <v>25</v>
      </c>
      <c r="AC10" s="13" t="s">
        <v>326</v>
      </c>
      <c r="AD10" s="13">
        <v>3.0</v>
      </c>
      <c r="AE10" s="13" t="s">
        <v>25</v>
      </c>
      <c r="AF10" s="13" t="s">
        <v>26</v>
      </c>
      <c r="AG10" s="13" t="s">
        <v>27</v>
      </c>
      <c r="AH10" s="13" t="s">
        <v>327</v>
      </c>
      <c r="AI10" s="13">
        <v>2.0</v>
      </c>
      <c r="AJ10" s="13" t="s">
        <v>25</v>
      </c>
      <c r="AK10" s="13" t="s">
        <v>26</v>
      </c>
      <c r="AL10" s="13" t="s">
        <v>27</v>
      </c>
      <c r="AM10" s="13" t="s">
        <v>329</v>
      </c>
      <c r="AN10" s="13">
        <v>1.0</v>
      </c>
      <c r="AO10" s="13" t="s">
        <v>25</v>
      </c>
      <c r="AP10" s="13" t="s">
        <v>27</v>
      </c>
      <c r="AQ10" s="13" t="s">
        <v>26</v>
      </c>
      <c r="AR10" s="13" t="s">
        <v>330</v>
      </c>
      <c r="AS10" s="13">
        <v>2.0</v>
      </c>
      <c r="AT10" s="27">
        <v>46204.5137962963</v>
      </c>
      <c r="AU10" s="27">
        <v>46204.53261574074</v>
      </c>
    </row>
    <row r="11">
      <c r="A11" s="11">
        <v>25.0</v>
      </c>
      <c r="B11" s="13" t="s">
        <v>204</v>
      </c>
      <c r="C11" s="13" t="s">
        <v>203</v>
      </c>
      <c r="D11" s="13" t="s">
        <v>206</v>
      </c>
      <c r="E11" s="13" t="s">
        <v>331</v>
      </c>
      <c r="F11" s="13" t="s">
        <v>25</v>
      </c>
      <c r="G11" s="13" t="s">
        <v>27</v>
      </c>
      <c r="H11" s="13" t="s">
        <v>26</v>
      </c>
      <c r="I11" s="13" t="s">
        <v>333</v>
      </c>
      <c r="J11" s="13">
        <v>2.0</v>
      </c>
      <c r="K11" s="13" t="s">
        <v>27</v>
      </c>
      <c r="L11" s="13" t="s">
        <v>25</v>
      </c>
      <c r="M11" s="13" t="s">
        <v>26</v>
      </c>
      <c r="N11" s="13" t="s">
        <v>334</v>
      </c>
      <c r="O11" s="13">
        <v>1.0</v>
      </c>
      <c r="P11" s="13" t="s">
        <v>26</v>
      </c>
      <c r="Q11" s="13" t="s">
        <v>25</v>
      </c>
      <c r="R11" s="13" t="s">
        <v>27</v>
      </c>
      <c r="S11" s="13" t="s">
        <v>335</v>
      </c>
      <c r="T11" s="13">
        <v>2.0</v>
      </c>
      <c r="U11" s="13" t="s">
        <v>26</v>
      </c>
      <c r="V11" s="13" t="s">
        <v>25</v>
      </c>
      <c r="W11" s="13" t="s">
        <v>27</v>
      </c>
      <c r="X11" s="13" t="s">
        <v>336</v>
      </c>
      <c r="Y11" s="13">
        <v>2.0</v>
      </c>
      <c r="Z11" s="13" t="s">
        <v>26</v>
      </c>
      <c r="AA11" s="13" t="s">
        <v>25</v>
      </c>
      <c r="AB11" s="13" t="s">
        <v>27</v>
      </c>
      <c r="AC11" s="13" t="s">
        <v>337</v>
      </c>
      <c r="AD11" s="13">
        <v>3.0</v>
      </c>
      <c r="AE11" s="13" t="s">
        <v>25</v>
      </c>
      <c r="AF11" s="13" t="s">
        <v>26</v>
      </c>
      <c r="AG11" s="13" t="s">
        <v>27</v>
      </c>
      <c r="AH11" s="13" t="s">
        <v>338</v>
      </c>
      <c r="AI11" s="13">
        <v>3.0</v>
      </c>
      <c r="AJ11" s="13" t="s">
        <v>25</v>
      </c>
      <c r="AK11" s="13" t="s">
        <v>27</v>
      </c>
      <c r="AL11" s="13" t="s">
        <v>26</v>
      </c>
      <c r="AM11" s="13" t="s">
        <v>340</v>
      </c>
      <c r="AN11" s="13">
        <v>3.0</v>
      </c>
      <c r="AO11" s="13" t="s">
        <v>27</v>
      </c>
      <c r="AP11" s="13" t="s">
        <v>25</v>
      </c>
      <c r="AQ11" s="13" t="s">
        <v>26</v>
      </c>
      <c r="AR11" s="13" t="s">
        <v>342</v>
      </c>
      <c r="AS11" s="13">
        <v>4.0</v>
      </c>
      <c r="AT11" s="27">
        <v>46204.51527777778</v>
      </c>
      <c r="AU11" s="27">
        <v>46204.5234837963</v>
      </c>
    </row>
    <row r="12">
      <c r="A12" s="11">
        <v>26.0</v>
      </c>
      <c r="B12" s="13" t="s">
        <v>204</v>
      </c>
      <c r="C12" s="33"/>
      <c r="D12" s="33"/>
      <c r="E12" s="13" t="s">
        <v>344</v>
      </c>
      <c r="F12" s="13" t="s">
        <v>25</v>
      </c>
      <c r="G12" s="13" t="s">
        <v>26</v>
      </c>
      <c r="H12" s="13" t="s">
        <v>27</v>
      </c>
      <c r="I12" s="13" t="s">
        <v>345</v>
      </c>
      <c r="J12" s="13">
        <v>1.0</v>
      </c>
      <c r="K12" s="13" t="s">
        <v>27</v>
      </c>
      <c r="L12" s="13" t="s">
        <v>25</v>
      </c>
      <c r="M12" s="13" t="s">
        <v>26</v>
      </c>
      <c r="N12" s="13" t="s">
        <v>345</v>
      </c>
      <c r="O12" s="13">
        <v>2.0</v>
      </c>
      <c r="P12" s="13" t="s">
        <v>26</v>
      </c>
      <c r="Q12" s="13" t="s">
        <v>25</v>
      </c>
      <c r="R12" s="13" t="s">
        <v>27</v>
      </c>
      <c r="S12" s="13" t="s">
        <v>345</v>
      </c>
      <c r="T12" s="13">
        <v>2.0</v>
      </c>
      <c r="U12" s="13" t="s">
        <v>26</v>
      </c>
      <c r="V12" s="13" t="s">
        <v>25</v>
      </c>
      <c r="W12" s="13" t="s">
        <v>27</v>
      </c>
      <c r="X12" s="13" t="s">
        <v>345</v>
      </c>
      <c r="Y12" s="13">
        <v>1.0</v>
      </c>
      <c r="Z12" s="13" t="s">
        <v>26</v>
      </c>
      <c r="AA12" s="13" t="s">
        <v>27</v>
      </c>
      <c r="AB12" s="13" t="s">
        <v>25</v>
      </c>
      <c r="AC12" s="13" t="s">
        <v>350</v>
      </c>
      <c r="AD12" s="13">
        <v>2.0</v>
      </c>
      <c r="AE12" s="13" t="s">
        <v>25</v>
      </c>
      <c r="AF12" s="13" t="s">
        <v>27</v>
      </c>
      <c r="AG12" s="13" t="s">
        <v>26</v>
      </c>
      <c r="AH12" s="13" t="s">
        <v>351</v>
      </c>
      <c r="AI12" s="13">
        <v>3.0</v>
      </c>
      <c r="AJ12" s="13" t="s">
        <v>25</v>
      </c>
      <c r="AK12" s="13" t="s">
        <v>27</v>
      </c>
      <c r="AL12" s="13" t="s">
        <v>26</v>
      </c>
      <c r="AM12" s="13" t="s">
        <v>352</v>
      </c>
      <c r="AN12" s="13">
        <v>2.0</v>
      </c>
      <c r="AO12" s="13" t="s">
        <v>26</v>
      </c>
      <c r="AP12" s="13" t="s">
        <v>25</v>
      </c>
      <c r="AQ12" s="13" t="s">
        <v>27</v>
      </c>
      <c r="AR12" s="13" t="s">
        <v>345</v>
      </c>
      <c r="AS12" s="13">
        <v>1.0</v>
      </c>
      <c r="AT12" s="27">
        <v>46204.5315625</v>
      </c>
      <c r="AU12" s="27">
        <v>46204.536770833336</v>
      </c>
    </row>
    <row r="13">
      <c r="A13" s="11">
        <v>30.0</v>
      </c>
      <c r="B13" s="13" t="s">
        <v>203</v>
      </c>
      <c r="C13" s="13" t="s">
        <v>204</v>
      </c>
      <c r="D13" s="13" t="s">
        <v>206</v>
      </c>
      <c r="E13" s="13" t="s">
        <v>353</v>
      </c>
      <c r="F13" s="13" t="s">
        <v>25</v>
      </c>
      <c r="G13" s="13" t="s">
        <v>26</v>
      </c>
      <c r="H13" s="13" t="s">
        <v>27</v>
      </c>
      <c r="I13" s="13" t="s">
        <v>354</v>
      </c>
      <c r="J13" s="13">
        <v>2.0</v>
      </c>
      <c r="K13" s="13" t="s">
        <v>27</v>
      </c>
      <c r="L13" s="13" t="s">
        <v>25</v>
      </c>
      <c r="M13" s="13" t="s">
        <v>26</v>
      </c>
      <c r="N13" s="13" t="s">
        <v>355</v>
      </c>
      <c r="O13" s="13">
        <v>2.0</v>
      </c>
      <c r="P13" s="13" t="s">
        <v>26</v>
      </c>
      <c r="Q13" s="13" t="s">
        <v>25</v>
      </c>
      <c r="R13" s="13" t="s">
        <v>27</v>
      </c>
      <c r="S13" s="13" t="s">
        <v>356</v>
      </c>
      <c r="T13" s="13">
        <v>2.0</v>
      </c>
      <c r="U13" s="13" t="s">
        <v>26</v>
      </c>
      <c r="V13" s="13" t="s">
        <v>25</v>
      </c>
      <c r="W13" s="13" t="s">
        <v>27</v>
      </c>
      <c r="X13" s="13" t="s">
        <v>357</v>
      </c>
      <c r="Y13" s="13">
        <v>2.0</v>
      </c>
      <c r="Z13" s="33"/>
      <c r="AA13" s="33"/>
      <c r="AB13" s="33"/>
      <c r="AC13" s="33"/>
      <c r="AD13" s="33"/>
      <c r="AE13" s="33"/>
      <c r="AF13" s="33"/>
      <c r="AG13" s="33"/>
      <c r="AH13" s="33"/>
      <c r="AI13" s="33"/>
      <c r="AJ13" s="13" t="s">
        <v>27</v>
      </c>
      <c r="AK13" s="13" t="s">
        <v>25</v>
      </c>
      <c r="AL13" s="13" t="s">
        <v>26</v>
      </c>
      <c r="AM13" s="13" t="s">
        <v>358</v>
      </c>
      <c r="AN13" s="13">
        <v>3.0</v>
      </c>
      <c r="AO13" s="33"/>
      <c r="AP13" s="33"/>
      <c r="AQ13" s="33"/>
      <c r="AR13" s="33"/>
      <c r="AS13" s="33"/>
      <c r="AT13" s="27">
        <v>46204.560219907406</v>
      </c>
      <c r="AU13" s="27">
        <v>46204.56519675926</v>
      </c>
    </row>
    <row r="14">
      <c r="A14" s="11">
        <v>31.0</v>
      </c>
      <c r="B14" s="13" t="s">
        <v>203</v>
      </c>
      <c r="C14" s="13" t="s">
        <v>204</v>
      </c>
      <c r="D14" s="13" t="s">
        <v>206</v>
      </c>
      <c r="E14" s="13" t="s">
        <v>359</v>
      </c>
      <c r="F14" s="13" t="s">
        <v>25</v>
      </c>
      <c r="G14" s="13" t="s">
        <v>26</v>
      </c>
      <c r="H14" s="13" t="s">
        <v>27</v>
      </c>
      <c r="I14" s="13" t="s">
        <v>360</v>
      </c>
      <c r="J14" s="13">
        <v>1.0</v>
      </c>
      <c r="K14" s="13" t="s">
        <v>27</v>
      </c>
      <c r="L14" s="13" t="s">
        <v>25</v>
      </c>
      <c r="M14" s="13" t="s">
        <v>26</v>
      </c>
      <c r="N14" s="13" t="s">
        <v>361</v>
      </c>
      <c r="O14" s="13">
        <v>1.0</v>
      </c>
      <c r="P14" s="13" t="s">
        <v>26</v>
      </c>
      <c r="Q14" s="13" t="s">
        <v>27</v>
      </c>
      <c r="R14" s="13" t="s">
        <v>25</v>
      </c>
      <c r="S14" s="13" t="s">
        <v>362</v>
      </c>
      <c r="T14" s="13">
        <v>1.0</v>
      </c>
      <c r="U14" s="13" t="s">
        <v>26</v>
      </c>
      <c r="V14" s="13" t="s">
        <v>25</v>
      </c>
      <c r="W14" s="13" t="s">
        <v>27</v>
      </c>
      <c r="X14" s="13" t="s">
        <v>363</v>
      </c>
      <c r="Y14" s="13">
        <v>1.0</v>
      </c>
      <c r="Z14" s="13" t="s">
        <v>27</v>
      </c>
      <c r="AA14" s="13" t="s">
        <v>25</v>
      </c>
      <c r="AB14" s="13" t="s">
        <v>26</v>
      </c>
      <c r="AC14" s="13" t="s">
        <v>364</v>
      </c>
      <c r="AD14" s="13">
        <v>4.0</v>
      </c>
      <c r="AE14" s="13" t="s">
        <v>25</v>
      </c>
      <c r="AF14" s="13" t="s">
        <v>27</v>
      </c>
      <c r="AG14" s="13" t="s">
        <v>26</v>
      </c>
      <c r="AH14" s="13" t="s">
        <v>365</v>
      </c>
      <c r="AI14" s="13">
        <v>4.0</v>
      </c>
      <c r="AJ14" s="13" t="s">
        <v>25</v>
      </c>
      <c r="AK14" s="13" t="s">
        <v>26</v>
      </c>
      <c r="AL14" s="13" t="s">
        <v>27</v>
      </c>
      <c r="AM14" s="13" t="s">
        <v>366</v>
      </c>
      <c r="AN14" s="13">
        <v>3.0</v>
      </c>
      <c r="AO14" s="13" t="s">
        <v>25</v>
      </c>
      <c r="AP14" s="13" t="s">
        <v>27</v>
      </c>
      <c r="AQ14" s="13" t="s">
        <v>26</v>
      </c>
      <c r="AR14" s="13" t="s">
        <v>367</v>
      </c>
      <c r="AS14" s="13">
        <v>2.0</v>
      </c>
      <c r="AT14" s="27">
        <v>46204.56565972222</v>
      </c>
      <c r="AU14" s="27">
        <v>46204.582453703704</v>
      </c>
    </row>
    <row r="15">
      <c r="A15" s="11">
        <v>34.0</v>
      </c>
      <c r="B15" s="13" t="s">
        <v>203</v>
      </c>
      <c r="C15" s="13" t="s">
        <v>204</v>
      </c>
      <c r="D15" s="13" t="s">
        <v>206</v>
      </c>
      <c r="E15" s="13" t="s">
        <v>368</v>
      </c>
      <c r="F15" s="13" t="s">
        <v>27</v>
      </c>
      <c r="G15" s="13" t="s">
        <v>25</v>
      </c>
      <c r="H15" s="13" t="s">
        <v>26</v>
      </c>
      <c r="I15" s="13" t="s">
        <v>369</v>
      </c>
      <c r="J15" s="13">
        <v>1.0</v>
      </c>
      <c r="K15" s="13" t="s">
        <v>27</v>
      </c>
      <c r="L15" s="13" t="s">
        <v>25</v>
      </c>
      <c r="M15" s="13" t="s">
        <v>26</v>
      </c>
      <c r="N15" s="13" t="s">
        <v>370</v>
      </c>
      <c r="O15" s="13">
        <v>1.0</v>
      </c>
      <c r="P15" s="13" t="s">
        <v>26</v>
      </c>
      <c r="Q15" s="13" t="s">
        <v>25</v>
      </c>
      <c r="R15" s="13" t="s">
        <v>27</v>
      </c>
      <c r="S15" s="13" t="s">
        <v>371</v>
      </c>
      <c r="T15" s="13">
        <v>1.0</v>
      </c>
      <c r="U15" s="13" t="s">
        <v>26</v>
      </c>
      <c r="V15" s="13" t="s">
        <v>27</v>
      </c>
      <c r="W15" s="13" t="s">
        <v>25</v>
      </c>
      <c r="X15" s="13" t="s">
        <v>372</v>
      </c>
      <c r="Y15" s="13">
        <v>2.0</v>
      </c>
      <c r="Z15" s="13" t="s">
        <v>27</v>
      </c>
      <c r="AA15" s="13" t="s">
        <v>26</v>
      </c>
      <c r="AB15" s="13" t="s">
        <v>25</v>
      </c>
      <c r="AC15" s="13" t="s">
        <v>373</v>
      </c>
      <c r="AD15" s="13">
        <v>1.0</v>
      </c>
      <c r="AE15" s="13" t="s">
        <v>26</v>
      </c>
      <c r="AF15" s="13" t="s">
        <v>25</v>
      </c>
      <c r="AG15" s="13" t="s">
        <v>27</v>
      </c>
      <c r="AH15" s="13" t="s">
        <v>374</v>
      </c>
      <c r="AI15" s="13">
        <v>1.0</v>
      </c>
      <c r="AJ15" s="13" t="s">
        <v>25</v>
      </c>
      <c r="AK15" s="13" t="s">
        <v>26</v>
      </c>
      <c r="AL15" s="13" t="s">
        <v>27</v>
      </c>
      <c r="AM15" s="13" t="s">
        <v>375</v>
      </c>
      <c r="AN15" s="13">
        <v>2.0</v>
      </c>
      <c r="AO15" s="13" t="s">
        <v>27</v>
      </c>
      <c r="AP15" s="13" t="s">
        <v>25</v>
      </c>
      <c r="AQ15" s="13" t="s">
        <v>26</v>
      </c>
      <c r="AR15" s="13" t="s">
        <v>376</v>
      </c>
      <c r="AS15" s="13">
        <v>2.0</v>
      </c>
      <c r="AT15" s="27">
        <v>46204.59614583333</v>
      </c>
      <c r="AU15" s="27">
        <v>46204.611296296294</v>
      </c>
    </row>
    <row r="16">
      <c r="A16" s="11">
        <v>36.0</v>
      </c>
      <c r="B16" s="13" t="s">
        <v>203</v>
      </c>
      <c r="C16" s="13" t="s">
        <v>204</v>
      </c>
      <c r="D16" s="13" t="s">
        <v>206</v>
      </c>
      <c r="E16" s="13" t="s">
        <v>377</v>
      </c>
      <c r="F16" s="13" t="s">
        <v>25</v>
      </c>
      <c r="G16" s="13" t="s">
        <v>27</v>
      </c>
      <c r="H16" s="13" t="s">
        <v>26</v>
      </c>
      <c r="I16" s="13" t="s">
        <v>378</v>
      </c>
      <c r="J16" s="13">
        <v>2.0</v>
      </c>
      <c r="K16" s="13" t="s">
        <v>27</v>
      </c>
      <c r="L16" s="13" t="s">
        <v>25</v>
      </c>
      <c r="M16" s="13" t="s">
        <v>26</v>
      </c>
      <c r="N16" s="13" t="s">
        <v>379</v>
      </c>
      <c r="O16" s="13">
        <v>2.0</v>
      </c>
      <c r="P16" s="13" t="s">
        <v>26</v>
      </c>
      <c r="Q16" s="13" t="s">
        <v>25</v>
      </c>
      <c r="R16" s="13" t="s">
        <v>27</v>
      </c>
      <c r="S16" s="13" t="s">
        <v>378</v>
      </c>
      <c r="T16" s="13">
        <v>2.0</v>
      </c>
      <c r="U16" s="13" t="s">
        <v>26</v>
      </c>
      <c r="V16" s="13" t="s">
        <v>25</v>
      </c>
      <c r="W16" s="13" t="s">
        <v>27</v>
      </c>
      <c r="X16" s="13" t="s">
        <v>378</v>
      </c>
      <c r="Y16" s="13">
        <v>2.0</v>
      </c>
      <c r="Z16" s="13" t="s">
        <v>27</v>
      </c>
      <c r="AA16" s="13" t="s">
        <v>26</v>
      </c>
      <c r="AB16" s="13" t="s">
        <v>25</v>
      </c>
      <c r="AC16" s="13" t="s">
        <v>380</v>
      </c>
      <c r="AD16" s="13">
        <v>2.0</v>
      </c>
      <c r="AE16" s="13" t="s">
        <v>25</v>
      </c>
      <c r="AF16" s="13" t="s">
        <v>26</v>
      </c>
      <c r="AG16" s="13" t="s">
        <v>27</v>
      </c>
      <c r="AH16" s="13" t="s">
        <v>381</v>
      </c>
      <c r="AI16" s="13">
        <v>2.0</v>
      </c>
      <c r="AJ16" s="13" t="s">
        <v>25</v>
      </c>
      <c r="AK16" s="13" t="s">
        <v>26</v>
      </c>
      <c r="AL16" s="13" t="s">
        <v>27</v>
      </c>
      <c r="AM16" s="13" t="s">
        <v>382</v>
      </c>
      <c r="AN16" s="13">
        <v>2.0</v>
      </c>
      <c r="AO16" s="13" t="s">
        <v>25</v>
      </c>
      <c r="AP16" s="13" t="s">
        <v>26</v>
      </c>
      <c r="AQ16" s="13" t="s">
        <v>27</v>
      </c>
      <c r="AR16" s="13" t="s">
        <v>383</v>
      </c>
      <c r="AS16" s="13">
        <v>3.0</v>
      </c>
      <c r="AT16" s="27">
        <v>46204.6146875</v>
      </c>
      <c r="AU16" s="27">
        <v>46204.62295138889</v>
      </c>
    </row>
    <row r="17">
      <c r="A17" s="11">
        <v>37.0</v>
      </c>
      <c r="B17" s="13" t="s">
        <v>204</v>
      </c>
      <c r="C17" s="13" t="s">
        <v>203</v>
      </c>
      <c r="D17" s="13" t="s">
        <v>206</v>
      </c>
      <c r="E17" s="13" t="s">
        <v>384</v>
      </c>
      <c r="F17" s="13" t="s">
        <v>25</v>
      </c>
      <c r="G17" s="13" t="s">
        <v>26</v>
      </c>
      <c r="H17" s="13" t="s">
        <v>27</v>
      </c>
      <c r="I17" s="13" t="s">
        <v>385</v>
      </c>
      <c r="J17" s="13">
        <v>1.0</v>
      </c>
      <c r="K17" s="13" t="s">
        <v>27</v>
      </c>
      <c r="L17" s="13" t="s">
        <v>25</v>
      </c>
      <c r="M17" s="13" t="s">
        <v>26</v>
      </c>
      <c r="N17" s="13" t="s">
        <v>386</v>
      </c>
      <c r="O17" s="13">
        <v>1.0</v>
      </c>
      <c r="P17" s="13" t="s">
        <v>26</v>
      </c>
      <c r="Q17" s="13" t="s">
        <v>25</v>
      </c>
      <c r="R17" s="13" t="s">
        <v>27</v>
      </c>
      <c r="S17" s="13" t="s">
        <v>387</v>
      </c>
      <c r="T17" s="13">
        <v>1.0</v>
      </c>
      <c r="U17" s="13" t="s">
        <v>26</v>
      </c>
      <c r="V17" s="13" t="s">
        <v>25</v>
      </c>
      <c r="W17" s="13" t="s">
        <v>27</v>
      </c>
      <c r="X17" s="13" t="s">
        <v>388</v>
      </c>
      <c r="Y17" s="13">
        <v>1.0</v>
      </c>
      <c r="Z17" s="13" t="s">
        <v>25</v>
      </c>
      <c r="AA17" s="13" t="s">
        <v>27</v>
      </c>
      <c r="AB17" s="13" t="s">
        <v>26</v>
      </c>
      <c r="AC17" s="13" t="s">
        <v>389</v>
      </c>
      <c r="AD17" s="13">
        <v>4.0</v>
      </c>
      <c r="AE17" s="13" t="s">
        <v>25</v>
      </c>
      <c r="AF17" s="13" t="s">
        <v>26</v>
      </c>
      <c r="AG17" s="13" t="s">
        <v>27</v>
      </c>
      <c r="AH17" s="13" t="s">
        <v>390</v>
      </c>
      <c r="AI17" s="13">
        <v>4.0</v>
      </c>
      <c r="AJ17" s="13" t="s">
        <v>25</v>
      </c>
      <c r="AK17" s="13" t="s">
        <v>27</v>
      </c>
      <c r="AL17" s="13" t="s">
        <v>26</v>
      </c>
      <c r="AM17" s="13" t="s">
        <v>391</v>
      </c>
      <c r="AN17" s="13">
        <v>2.0</v>
      </c>
      <c r="AO17" s="13" t="s">
        <v>25</v>
      </c>
      <c r="AP17" s="13" t="s">
        <v>27</v>
      </c>
      <c r="AQ17" s="13" t="s">
        <v>26</v>
      </c>
      <c r="AR17" s="13" t="s">
        <v>392</v>
      </c>
      <c r="AS17" s="13">
        <v>2.0</v>
      </c>
      <c r="AT17" s="27">
        <v>46204.63465277778</v>
      </c>
      <c r="AU17" s="27">
        <v>46204.64797453704</v>
      </c>
    </row>
    <row r="18">
      <c r="A18" s="11">
        <v>38.0</v>
      </c>
      <c r="B18" s="13" t="s">
        <v>203</v>
      </c>
      <c r="C18" s="13" t="s">
        <v>204</v>
      </c>
      <c r="D18" s="13" t="s">
        <v>206</v>
      </c>
      <c r="E18" s="13" t="s">
        <v>393</v>
      </c>
      <c r="F18" s="13" t="s">
        <v>25</v>
      </c>
      <c r="G18" s="13" t="s">
        <v>27</v>
      </c>
      <c r="H18" s="13" t="s">
        <v>26</v>
      </c>
      <c r="I18" s="13" t="s">
        <v>394</v>
      </c>
      <c r="J18" s="13">
        <v>3.0</v>
      </c>
      <c r="K18" s="13" t="s">
        <v>25</v>
      </c>
      <c r="L18" s="13" t="s">
        <v>27</v>
      </c>
      <c r="M18" s="13" t="s">
        <v>26</v>
      </c>
      <c r="N18" s="33"/>
      <c r="O18" s="13">
        <v>2.0</v>
      </c>
      <c r="P18" s="13" t="s">
        <v>26</v>
      </c>
      <c r="Q18" s="13" t="s">
        <v>25</v>
      </c>
      <c r="R18" s="13" t="s">
        <v>27</v>
      </c>
      <c r="S18" s="13" t="s">
        <v>396</v>
      </c>
      <c r="T18" s="13">
        <v>2.0</v>
      </c>
      <c r="U18" s="13" t="s">
        <v>26</v>
      </c>
      <c r="V18" s="13" t="s">
        <v>25</v>
      </c>
      <c r="W18" s="13" t="s">
        <v>27</v>
      </c>
      <c r="X18" s="33"/>
      <c r="Y18" s="13">
        <v>2.0</v>
      </c>
      <c r="Z18" s="13" t="s">
        <v>27</v>
      </c>
      <c r="AA18" s="13" t="s">
        <v>26</v>
      </c>
      <c r="AB18" s="13" t="s">
        <v>25</v>
      </c>
      <c r="AC18" s="13" t="s">
        <v>398</v>
      </c>
      <c r="AD18" s="13">
        <v>1.0</v>
      </c>
      <c r="AE18" s="13" t="s">
        <v>26</v>
      </c>
      <c r="AF18" s="13" t="s">
        <v>25</v>
      </c>
      <c r="AG18" s="13" t="s">
        <v>27</v>
      </c>
      <c r="AH18" s="33"/>
      <c r="AI18" s="13">
        <v>1.0</v>
      </c>
      <c r="AJ18" s="13" t="s">
        <v>27</v>
      </c>
      <c r="AK18" s="13" t="s">
        <v>25</v>
      </c>
      <c r="AL18" s="13" t="s">
        <v>26</v>
      </c>
      <c r="AM18" s="13" t="s">
        <v>401</v>
      </c>
      <c r="AN18" s="13">
        <v>2.0</v>
      </c>
      <c r="AO18" s="13" t="s">
        <v>27</v>
      </c>
      <c r="AP18" s="13" t="s">
        <v>25</v>
      </c>
      <c r="AQ18" s="13" t="s">
        <v>26</v>
      </c>
      <c r="AR18" s="13" t="s">
        <v>403</v>
      </c>
      <c r="AS18" s="13">
        <v>1.0</v>
      </c>
      <c r="AT18" s="27">
        <v>46204.63512731482</v>
      </c>
      <c r="AU18" s="27">
        <v>46204.643645833334</v>
      </c>
    </row>
    <row r="19">
      <c r="A19" s="11">
        <v>39.0</v>
      </c>
      <c r="B19" s="13" t="s">
        <v>204</v>
      </c>
      <c r="C19" s="13" t="s">
        <v>203</v>
      </c>
      <c r="D19" s="13" t="s">
        <v>206</v>
      </c>
      <c r="E19" s="13" t="s">
        <v>405</v>
      </c>
      <c r="F19" s="13" t="s">
        <v>25</v>
      </c>
      <c r="G19" s="13" t="s">
        <v>26</v>
      </c>
      <c r="H19" s="13" t="s">
        <v>27</v>
      </c>
      <c r="I19" s="13" t="s">
        <v>407</v>
      </c>
      <c r="J19" s="13">
        <v>3.0</v>
      </c>
      <c r="K19" s="13" t="s">
        <v>25</v>
      </c>
      <c r="L19" s="13" t="s">
        <v>27</v>
      </c>
      <c r="M19" s="13" t="s">
        <v>26</v>
      </c>
      <c r="N19" s="13" t="s">
        <v>408</v>
      </c>
      <c r="O19" s="13">
        <v>3.0</v>
      </c>
      <c r="P19" s="13" t="s">
        <v>26</v>
      </c>
      <c r="Q19" s="13" t="s">
        <v>25</v>
      </c>
      <c r="R19" s="13" t="s">
        <v>27</v>
      </c>
      <c r="S19" s="13" t="s">
        <v>410</v>
      </c>
      <c r="T19" s="13">
        <v>3.0</v>
      </c>
      <c r="U19" s="13" t="s">
        <v>26</v>
      </c>
      <c r="V19" s="13" t="s">
        <v>25</v>
      </c>
      <c r="W19" s="13" t="s">
        <v>27</v>
      </c>
      <c r="X19" s="13" t="s">
        <v>412</v>
      </c>
      <c r="Y19" s="13">
        <v>4.0</v>
      </c>
      <c r="Z19" s="13" t="s">
        <v>27</v>
      </c>
      <c r="AA19" s="13" t="s">
        <v>26</v>
      </c>
      <c r="AB19" s="13" t="s">
        <v>25</v>
      </c>
      <c r="AC19" s="13" t="s">
        <v>414</v>
      </c>
      <c r="AD19" s="13">
        <v>2.0</v>
      </c>
      <c r="AE19" s="13" t="s">
        <v>25</v>
      </c>
      <c r="AF19" s="13" t="s">
        <v>26</v>
      </c>
      <c r="AG19" s="13" t="s">
        <v>27</v>
      </c>
      <c r="AH19" s="13" t="s">
        <v>416</v>
      </c>
      <c r="AI19" s="13">
        <v>3.0</v>
      </c>
      <c r="AJ19" s="13" t="s">
        <v>27</v>
      </c>
      <c r="AK19" s="13" t="s">
        <v>25</v>
      </c>
      <c r="AL19" s="13" t="s">
        <v>26</v>
      </c>
      <c r="AM19" s="13" t="s">
        <v>417</v>
      </c>
      <c r="AN19" s="13">
        <v>3.0</v>
      </c>
      <c r="AO19" s="13" t="s">
        <v>27</v>
      </c>
      <c r="AP19" s="13" t="s">
        <v>25</v>
      </c>
      <c r="AQ19" s="13" t="s">
        <v>26</v>
      </c>
      <c r="AR19" s="13" t="s">
        <v>418</v>
      </c>
      <c r="AS19" s="13">
        <v>4.0</v>
      </c>
      <c r="AT19" s="27">
        <v>46204.64293981482</v>
      </c>
      <c r="AU19" s="27">
        <v>46204.6583912037</v>
      </c>
    </row>
    <row r="20">
      <c r="A20" s="11">
        <v>40.0</v>
      </c>
      <c r="B20" s="13" t="s">
        <v>206</v>
      </c>
      <c r="C20" s="13" t="s">
        <v>203</v>
      </c>
      <c r="D20" s="13" t="s">
        <v>204</v>
      </c>
      <c r="E20" s="13" t="s">
        <v>419</v>
      </c>
      <c r="F20" s="13" t="s">
        <v>25</v>
      </c>
      <c r="G20" s="13" t="s">
        <v>26</v>
      </c>
      <c r="H20" s="13" t="s">
        <v>27</v>
      </c>
      <c r="I20" s="13" t="s">
        <v>420</v>
      </c>
      <c r="J20" s="13">
        <v>2.0</v>
      </c>
      <c r="K20" s="13" t="s">
        <v>27</v>
      </c>
      <c r="L20" s="13" t="s">
        <v>25</v>
      </c>
      <c r="M20" s="13" t="s">
        <v>26</v>
      </c>
      <c r="N20" s="13" t="s">
        <v>421</v>
      </c>
      <c r="O20" s="13">
        <v>2.0</v>
      </c>
      <c r="P20" s="13" t="s">
        <v>26</v>
      </c>
      <c r="Q20" s="13" t="s">
        <v>25</v>
      </c>
      <c r="R20" s="13" t="s">
        <v>27</v>
      </c>
      <c r="S20" s="13" t="s">
        <v>420</v>
      </c>
      <c r="T20" s="13">
        <v>2.0</v>
      </c>
      <c r="U20" s="13" t="s">
        <v>26</v>
      </c>
      <c r="V20" s="13" t="s">
        <v>27</v>
      </c>
      <c r="W20" s="13" t="s">
        <v>25</v>
      </c>
      <c r="X20" s="13" t="s">
        <v>422</v>
      </c>
      <c r="Y20" s="13">
        <v>2.0</v>
      </c>
      <c r="Z20" s="13" t="s">
        <v>27</v>
      </c>
      <c r="AA20" s="13" t="s">
        <v>26</v>
      </c>
      <c r="AB20" s="13" t="s">
        <v>25</v>
      </c>
      <c r="AC20" s="13" t="s">
        <v>423</v>
      </c>
      <c r="AD20" s="13">
        <v>2.0</v>
      </c>
      <c r="AE20" s="13" t="s">
        <v>26</v>
      </c>
      <c r="AF20" s="13" t="s">
        <v>25</v>
      </c>
      <c r="AG20" s="13" t="s">
        <v>27</v>
      </c>
      <c r="AH20" s="13" t="s">
        <v>424</v>
      </c>
      <c r="AI20" s="13">
        <v>2.0</v>
      </c>
      <c r="AJ20" s="13" t="s">
        <v>25</v>
      </c>
      <c r="AK20" s="13" t="s">
        <v>27</v>
      </c>
      <c r="AL20" s="13" t="s">
        <v>26</v>
      </c>
      <c r="AM20" s="13" t="s">
        <v>425</v>
      </c>
      <c r="AN20" s="13">
        <v>2.0</v>
      </c>
      <c r="AO20" s="13" t="s">
        <v>27</v>
      </c>
      <c r="AP20" s="13" t="s">
        <v>25</v>
      </c>
      <c r="AQ20" s="13" t="s">
        <v>26</v>
      </c>
      <c r="AR20" s="13" t="s">
        <v>423</v>
      </c>
      <c r="AS20" s="13">
        <v>2.0</v>
      </c>
      <c r="AT20" s="27">
        <v>46204.646944444445</v>
      </c>
      <c r="AU20" s="27">
        <v>46204.656006944446</v>
      </c>
    </row>
    <row r="21">
      <c r="A21" s="11">
        <v>41.0</v>
      </c>
      <c r="B21" s="13" t="s">
        <v>204</v>
      </c>
      <c r="C21" s="13" t="s">
        <v>206</v>
      </c>
      <c r="D21" s="13" t="s">
        <v>203</v>
      </c>
      <c r="E21" s="13" t="s">
        <v>426</v>
      </c>
      <c r="F21" s="13" t="s">
        <v>25</v>
      </c>
      <c r="G21" s="13" t="s">
        <v>27</v>
      </c>
      <c r="H21" s="13" t="s">
        <v>26</v>
      </c>
      <c r="I21" s="13" t="s">
        <v>427</v>
      </c>
      <c r="J21" s="13">
        <v>1.0</v>
      </c>
      <c r="K21" s="13" t="s">
        <v>27</v>
      </c>
      <c r="L21" s="13" t="s">
        <v>26</v>
      </c>
      <c r="M21" s="13" t="s">
        <v>25</v>
      </c>
      <c r="N21" s="13" t="s">
        <v>428</v>
      </c>
      <c r="O21" s="13">
        <v>2.0</v>
      </c>
      <c r="P21" s="13" t="s">
        <v>26</v>
      </c>
      <c r="Q21" s="13" t="s">
        <v>27</v>
      </c>
      <c r="R21" s="13" t="s">
        <v>25</v>
      </c>
      <c r="S21" s="13" t="s">
        <v>429</v>
      </c>
      <c r="T21" s="13">
        <v>2.0</v>
      </c>
      <c r="U21" s="13" t="s">
        <v>26</v>
      </c>
      <c r="V21" s="13" t="s">
        <v>25</v>
      </c>
      <c r="W21" s="13" t="s">
        <v>27</v>
      </c>
      <c r="X21" s="13" t="s">
        <v>430</v>
      </c>
      <c r="Y21" s="13">
        <v>1.0</v>
      </c>
      <c r="Z21" s="13" t="s">
        <v>26</v>
      </c>
      <c r="AA21" s="13" t="s">
        <v>27</v>
      </c>
      <c r="AB21" s="13" t="s">
        <v>25</v>
      </c>
      <c r="AC21" s="13" t="s">
        <v>431</v>
      </c>
      <c r="AD21" s="13">
        <v>1.0</v>
      </c>
      <c r="AE21" s="13" t="s">
        <v>25</v>
      </c>
      <c r="AF21" s="13" t="s">
        <v>27</v>
      </c>
      <c r="AG21" s="13" t="s">
        <v>26</v>
      </c>
      <c r="AH21" s="13" t="s">
        <v>433</v>
      </c>
      <c r="AI21" s="13">
        <v>1.0</v>
      </c>
      <c r="AJ21" s="13" t="s">
        <v>27</v>
      </c>
      <c r="AK21" s="13" t="s">
        <v>26</v>
      </c>
      <c r="AL21" s="13" t="s">
        <v>25</v>
      </c>
      <c r="AM21" s="13" t="s">
        <v>435</v>
      </c>
      <c r="AN21" s="13">
        <v>2.0</v>
      </c>
      <c r="AO21" s="13" t="s">
        <v>26</v>
      </c>
      <c r="AP21" s="13" t="s">
        <v>27</v>
      </c>
      <c r="AQ21" s="13" t="s">
        <v>25</v>
      </c>
      <c r="AR21" s="13" t="s">
        <v>438</v>
      </c>
      <c r="AS21" s="13">
        <v>1.0</v>
      </c>
      <c r="AT21" s="27">
        <v>46204.64979166666</v>
      </c>
      <c r="AU21" s="27">
        <v>46204.66587962963</v>
      </c>
    </row>
    <row r="22">
      <c r="A22" s="11">
        <v>47.0</v>
      </c>
      <c r="B22" s="13" t="s">
        <v>203</v>
      </c>
      <c r="C22" s="13" t="s">
        <v>204</v>
      </c>
      <c r="D22" s="13" t="s">
        <v>206</v>
      </c>
      <c r="E22" s="13" t="s">
        <v>442</v>
      </c>
      <c r="F22" s="13" t="s">
        <v>25</v>
      </c>
      <c r="G22" s="13" t="s">
        <v>26</v>
      </c>
      <c r="H22" s="13" t="s">
        <v>27</v>
      </c>
      <c r="I22" s="13" t="s">
        <v>443</v>
      </c>
      <c r="J22" s="13">
        <v>2.0</v>
      </c>
      <c r="K22" s="13" t="s">
        <v>27</v>
      </c>
      <c r="L22" s="13" t="s">
        <v>25</v>
      </c>
      <c r="M22" s="13" t="s">
        <v>26</v>
      </c>
      <c r="N22" s="13" t="s">
        <v>445</v>
      </c>
      <c r="O22" s="13">
        <v>2.0</v>
      </c>
      <c r="P22" s="13" t="s">
        <v>26</v>
      </c>
      <c r="Q22" s="13" t="s">
        <v>25</v>
      </c>
      <c r="R22" s="13" t="s">
        <v>27</v>
      </c>
      <c r="S22" s="13" t="s">
        <v>446</v>
      </c>
      <c r="T22" s="13">
        <v>2.0</v>
      </c>
      <c r="U22" s="13" t="s">
        <v>26</v>
      </c>
      <c r="V22" s="13" t="s">
        <v>25</v>
      </c>
      <c r="W22" s="13" t="s">
        <v>27</v>
      </c>
      <c r="X22" s="13" t="s">
        <v>447</v>
      </c>
      <c r="Y22" s="13">
        <v>2.0</v>
      </c>
      <c r="Z22" s="13" t="s">
        <v>27</v>
      </c>
      <c r="AA22" s="13" t="s">
        <v>26</v>
      </c>
      <c r="AB22" s="13" t="s">
        <v>25</v>
      </c>
      <c r="AC22" s="13" t="s">
        <v>448</v>
      </c>
      <c r="AD22" s="13">
        <v>2.0</v>
      </c>
      <c r="AE22" s="13" t="s">
        <v>25</v>
      </c>
      <c r="AF22" s="13" t="s">
        <v>26</v>
      </c>
      <c r="AG22" s="13" t="s">
        <v>27</v>
      </c>
      <c r="AH22" s="13" t="s">
        <v>449</v>
      </c>
      <c r="AI22" s="13">
        <v>2.0</v>
      </c>
      <c r="AJ22" s="13" t="s">
        <v>25</v>
      </c>
      <c r="AK22" s="13" t="s">
        <v>27</v>
      </c>
      <c r="AL22" s="13" t="s">
        <v>26</v>
      </c>
      <c r="AM22" s="13" t="s">
        <v>450</v>
      </c>
      <c r="AN22" s="13">
        <v>2.0</v>
      </c>
      <c r="AO22" s="13" t="s">
        <v>25</v>
      </c>
      <c r="AP22" s="13" t="s">
        <v>27</v>
      </c>
      <c r="AQ22" s="13" t="s">
        <v>26</v>
      </c>
      <c r="AR22" s="13" t="s">
        <v>451</v>
      </c>
      <c r="AS22" s="13">
        <v>2.0</v>
      </c>
      <c r="AT22" s="27">
        <v>46204.74621527778</v>
      </c>
      <c r="AU22" s="27">
        <v>46204.755057870374</v>
      </c>
    </row>
    <row r="23">
      <c r="A23" s="11">
        <v>49.0</v>
      </c>
      <c r="B23" s="13" t="s">
        <v>203</v>
      </c>
      <c r="C23" s="13" t="s">
        <v>204</v>
      </c>
      <c r="D23" s="13" t="s">
        <v>206</v>
      </c>
      <c r="E23" s="13" t="s">
        <v>452</v>
      </c>
      <c r="F23" s="13" t="s">
        <v>25</v>
      </c>
      <c r="G23" s="13" t="s">
        <v>26</v>
      </c>
      <c r="H23" s="13" t="s">
        <v>27</v>
      </c>
      <c r="I23" s="13" t="s">
        <v>453</v>
      </c>
      <c r="J23" s="13">
        <v>1.0</v>
      </c>
      <c r="K23" s="13" t="s">
        <v>27</v>
      </c>
      <c r="L23" s="13" t="s">
        <v>25</v>
      </c>
      <c r="M23" s="13" t="s">
        <v>26</v>
      </c>
      <c r="N23" s="13" t="s">
        <v>454</v>
      </c>
      <c r="O23" s="13">
        <v>1.0</v>
      </c>
      <c r="P23" s="13" t="s">
        <v>26</v>
      </c>
      <c r="Q23" s="13" t="s">
        <v>25</v>
      </c>
      <c r="R23" s="13" t="s">
        <v>27</v>
      </c>
      <c r="S23" s="13" t="s">
        <v>455</v>
      </c>
      <c r="T23" s="13">
        <v>1.0</v>
      </c>
      <c r="U23" s="13" t="s">
        <v>26</v>
      </c>
      <c r="V23" s="13" t="s">
        <v>25</v>
      </c>
      <c r="W23" s="13" t="s">
        <v>27</v>
      </c>
      <c r="X23" s="13" t="s">
        <v>456</v>
      </c>
      <c r="Y23" s="13">
        <v>1.0</v>
      </c>
      <c r="Z23" s="13" t="s">
        <v>25</v>
      </c>
      <c r="AA23" s="13" t="s">
        <v>26</v>
      </c>
      <c r="AB23" s="13" t="s">
        <v>27</v>
      </c>
      <c r="AC23" s="13" t="s">
        <v>457</v>
      </c>
      <c r="AD23" s="13">
        <v>2.0</v>
      </c>
      <c r="AE23" s="13" t="s">
        <v>27</v>
      </c>
      <c r="AF23" s="13" t="s">
        <v>25</v>
      </c>
      <c r="AG23" s="13" t="s">
        <v>26</v>
      </c>
      <c r="AH23" s="13" t="s">
        <v>458</v>
      </c>
      <c r="AI23" s="13">
        <v>3.0</v>
      </c>
      <c r="AJ23" s="13" t="s">
        <v>25</v>
      </c>
      <c r="AK23" s="13" t="s">
        <v>26</v>
      </c>
      <c r="AL23" s="13" t="s">
        <v>27</v>
      </c>
      <c r="AM23" s="13" t="s">
        <v>459</v>
      </c>
      <c r="AN23" s="13">
        <v>3.0</v>
      </c>
      <c r="AO23" s="13" t="s">
        <v>25</v>
      </c>
      <c r="AP23" s="13" t="s">
        <v>26</v>
      </c>
      <c r="AQ23" s="13" t="s">
        <v>27</v>
      </c>
      <c r="AR23" s="13" t="s">
        <v>460</v>
      </c>
      <c r="AS23" s="13">
        <v>2.0</v>
      </c>
      <c r="AT23" s="27">
        <v>46204.783738425926</v>
      </c>
      <c r="AU23" s="27">
        <v>46204.80421296296</v>
      </c>
    </row>
    <row r="24">
      <c r="A24" s="11">
        <v>50.0</v>
      </c>
      <c r="B24" s="13" t="s">
        <v>203</v>
      </c>
      <c r="C24" s="13" t="s">
        <v>204</v>
      </c>
      <c r="D24" s="13" t="s">
        <v>206</v>
      </c>
      <c r="E24" s="13" t="s">
        <v>461</v>
      </c>
      <c r="F24" s="13" t="s">
        <v>25</v>
      </c>
      <c r="G24" s="13" t="s">
        <v>26</v>
      </c>
      <c r="H24" s="13" t="s">
        <v>27</v>
      </c>
      <c r="I24" s="13" t="s">
        <v>462</v>
      </c>
      <c r="J24" s="13">
        <v>2.0</v>
      </c>
      <c r="K24" s="13" t="s">
        <v>27</v>
      </c>
      <c r="L24" s="13" t="s">
        <v>25</v>
      </c>
      <c r="M24" s="13" t="s">
        <v>26</v>
      </c>
      <c r="N24" s="13" t="s">
        <v>462</v>
      </c>
      <c r="O24" s="13">
        <v>2.0</v>
      </c>
      <c r="P24" s="13" t="s">
        <v>26</v>
      </c>
      <c r="Q24" s="13" t="s">
        <v>25</v>
      </c>
      <c r="R24" s="13" t="s">
        <v>27</v>
      </c>
      <c r="S24" s="13" t="s">
        <v>463</v>
      </c>
      <c r="T24" s="13">
        <v>3.0</v>
      </c>
      <c r="U24" s="13" t="s">
        <v>26</v>
      </c>
      <c r="V24" s="13" t="s">
        <v>25</v>
      </c>
      <c r="W24" s="13" t="s">
        <v>27</v>
      </c>
      <c r="X24" s="13" t="s">
        <v>462</v>
      </c>
      <c r="Y24" s="13">
        <v>2.0</v>
      </c>
      <c r="Z24" s="13" t="s">
        <v>27</v>
      </c>
      <c r="AA24" s="13" t="s">
        <v>26</v>
      </c>
      <c r="AB24" s="13" t="s">
        <v>25</v>
      </c>
      <c r="AC24" s="13" t="s">
        <v>464</v>
      </c>
      <c r="AD24" s="13">
        <v>2.0</v>
      </c>
      <c r="AE24" s="13" t="s">
        <v>25</v>
      </c>
      <c r="AF24" s="13" t="s">
        <v>26</v>
      </c>
      <c r="AG24" s="13" t="s">
        <v>27</v>
      </c>
      <c r="AH24" s="13" t="s">
        <v>465</v>
      </c>
      <c r="AI24" s="13">
        <v>3.0</v>
      </c>
      <c r="AJ24" s="13" t="s">
        <v>25</v>
      </c>
      <c r="AK24" s="13" t="s">
        <v>26</v>
      </c>
      <c r="AL24" s="13" t="s">
        <v>27</v>
      </c>
      <c r="AM24" s="13" t="s">
        <v>466</v>
      </c>
      <c r="AN24" s="13">
        <v>4.0</v>
      </c>
      <c r="AO24" s="13" t="s">
        <v>25</v>
      </c>
      <c r="AP24" s="13" t="s">
        <v>27</v>
      </c>
      <c r="AQ24" s="13" t="s">
        <v>26</v>
      </c>
      <c r="AR24" s="13" t="s">
        <v>467</v>
      </c>
      <c r="AS24" s="13">
        <v>3.0</v>
      </c>
      <c r="AT24" s="27">
        <v>46204.92018518518</v>
      </c>
      <c r="AU24" s="27">
        <v>46204.93335648148</v>
      </c>
    </row>
    <row r="25">
      <c r="A25" s="11">
        <v>53.0</v>
      </c>
      <c r="B25" s="13" t="s">
        <v>203</v>
      </c>
      <c r="C25" s="13" t="s">
        <v>204</v>
      </c>
      <c r="D25" s="13" t="s">
        <v>206</v>
      </c>
      <c r="E25" s="13" t="s">
        <v>468</v>
      </c>
      <c r="F25" s="13" t="s">
        <v>25</v>
      </c>
      <c r="G25" s="13" t="s">
        <v>26</v>
      </c>
      <c r="H25" s="13" t="s">
        <v>27</v>
      </c>
      <c r="I25" s="13" t="s">
        <v>469</v>
      </c>
      <c r="J25" s="13">
        <v>1.0</v>
      </c>
      <c r="K25" s="13" t="s">
        <v>27</v>
      </c>
      <c r="L25" s="13" t="s">
        <v>25</v>
      </c>
      <c r="M25" s="13" t="s">
        <v>26</v>
      </c>
      <c r="N25" s="13" t="s">
        <v>470</v>
      </c>
      <c r="O25" s="13">
        <v>1.0</v>
      </c>
      <c r="P25" s="13" t="s">
        <v>26</v>
      </c>
      <c r="Q25" s="13" t="s">
        <v>25</v>
      </c>
      <c r="R25" s="13" t="s">
        <v>27</v>
      </c>
      <c r="S25" s="13" t="s">
        <v>471</v>
      </c>
      <c r="T25" s="13">
        <v>1.0</v>
      </c>
      <c r="U25" s="13" t="s">
        <v>26</v>
      </c>
      <c r="V25" s="13" t="s">
        <v>25</v>
      </c>
      <c r="W25" s="13" t="s">
        <v>27</v>
      </c>
      <c r="X25" s="49" t="s">
        <v>472</v>
      </c>
      <c r="Y25" s="13">
        <v>1.0</v>
      </c>
      <c r="Z25" s="13" t="s">
        <v>26</v>
      </c>
      <c r="AA25" s="13" t="s">
        <v>27</v>
      </c>
      <c r="AB25" s="13" t="s">
        <v>25</v>
      </c>
      <c r="AC25" s="13" t="s">
        <v>473</v>
      </c>
      <c r="AD25" s="13">
        <v>1.0</v>
      </c>
      <c r="AE25" s="13" t="s">
        <v>25</v>
      </c>
      <c r="AF25" s="13" t="s">
        <v>26</v>
      </c>
      <c r="AG25" s="13" t="s">
        <v>27</v>
      </c>
      <c r="AH25" s="13" t="s">
        <v>474</v>
      </c>
      <c r="AI25" s="13">
        <v>1.0</v>
      </c>
      <c r="AJ25" s="13" t="s">
        <v>25</v>
      </c>
      <c r="AK25" s="13" t="s">
        <v>26</v>
      </c>
      <c r="AL25" s="13" t="s">
        <v>27</v>
      </c>
      <c r="AM25" s="13" t="s">
        <v>475</v>
      </c>
      <c r="AN25" s="13">
        <v>1.0</v>
      </c>
      <c r="AO25" s="13" t="s">
        <v>25</v>
      </c>
      <c r="AP25" s="13" t="s">
        <v>26</v>
      </c>
      <c r="AQ25" s="13" t="s">
        <v>27</v>
      </c>
      <c r="AR25" s="13" t="s">
        <v>476</v>
      </c>
      <c r="AS25" s="13">
        <v>1.0</v>
      </c>
      <c r="AT25" s="27">
        <v>46205.27442129629</v>
      </c>
      <c r="AU25" s="27">
        <v>46205.30914351852</v>
      </c>
    </row>
    <row r="26">
      <c r="A26" s="11">
        <v>55.0</v>
      </c>
      <c r="B26" s="13" t="s">
        <v>206</v>
      </c>
      <c r="C26" s="33"/>
      <c r="D26" s="33"/>
      <c r="E26" s="13" t="s">
        <v>477</v>
      </c>
      <c r="F26" s="13" t="s">
        <v>25</v>
      </c>
      <c r="G26" s="13" t="s">
        <v>26</v>
      </c>
      <c r="H26" s="13" t="s">
        <v>27</v>
      </c>
      <c r="I26" s="13" t="s">
        <v>478</v>
      </c>
      <c r="J26" s="13">
        <v>3.0</v>
      </c>
      <c r="K26" s="13" t="s">
        <v>25</v>
      </c>
      <c r="L26" s="13" t="s">
        <v>26</v>
      </c>
      <c r="M26" s="13" t="s">
        <v>27</v>
      </c>
      <c r="N26" s="13" t="s">
        <v>479</v>
      </c>
      <c r="O26" s="13">
        <v>3.0</v>
      </c>
      <c r="P26" s="13" t="s">
        <v>26</v>
      </c>
      <c r="Q26" s="13" t="s">
        <v>25</v>
      </c>
      <c r="R26" s="13" t="s">
        <v>27</v>
      </c>
      <c r="S26" s="13" t="s">
        <v>480</v>
      </c>
      <c r="T26" s="13">
        <v>3.0</v>
      </c>
      <c r="U26" s="13" t="s">
        <v>26</v>
      </c>
      <c r="V26" s="13" t="s">
        <v>25</v>
      </c>
      <c r="W26" s="13" t="s">
        <v>27</v>
      </c>
      <c r="X26" s="13" t="s">
        <v>481</v>
      </c>
      <c r="Y26" s="13">
        <v>3.0</v>
      </c>
      <c r="Z26" s="13" t="s">
        <v>25</v>
      </c>
      <c r="AA26" s="13" t="s">
        <v>26</v>
      </c>
      <c r="AB26" s="13" t="s">
        <v>27</v>
      </c>
      <c r="AC26" s="13" t="s">
        <v>482</v>
      </c>
      <c r="AD26" s="13">
        <v>3.0</v>
      </c>
      <c r="AE26" s="13" t="s">
        <v>25</v>
      </c>
      <c r="AF26" s="13" t="s">
        <v>26</v>
      </c>
      <c r="AG26" s="13" t="s">
        <v>27</v>
      </c>
      <c r="AH26" s="13" t="s">
        <v>483</v>
      </c>
      <c r="AI26" s="13">
        <v>3.0</v>
      </c>
      <c r="AJ26" s="13" t="s">
        <v>25</v>
      </c>
      <c r="AK26" s="13" t="s">
        <v>26</v>
      </c>
      <c r="AL26" s="13" t="s">
        <v>27</v>
      </c>
      <c r="AM26" s="13" t="s">
        <v>484</v>
      </c>
      <c r="AN26" s="13">
        <v>3.0</v>
      </c>
      <c r="AO26" s="13" t="s">
        <v>25</v>
      </c>
      <c r="AP26" s="13" t="s">
        <v>26</v>
      </c>
      <c r="AQ26" s="13" t="s">
        <v>27</v>
      </c>
      <c r="AR26" s="13" t="s">
        <v>485</v>
      </c>
      <c r="AS26" s="13">
        <v>3.0</v>
      </c>
      <c r="AT26" s="27">
        <v>46205.29244212963</v>
      </c>
      <c r="AU26" s="27">
        <v>46205.30415509259</v>
      </c>
    </row>
    <row r="27">
      <c r="A27" s="11">
        <v>56.0</v>
      </c>
      <c r="B27" s="13" t="s">
        <v>203</v>
      </c>
      <c r="C27" s="13" t="s">
        <v>204</v>
      </c>
      <c r="D27" s="13" t="s">
        <v>206</v>
      </c>
      <c r="E27" s="13" t="s">
        <v>486</v>
      </c>
      <c r="F27" s="13" t="s">
        <v>25</v>
      </c>
      <c r="G27" s="13" t="s">
        <v>26</v>
      </c>
      <c r="H27" s="13" t="s">
        <v>27</v>
      </c>
      <c r="I27" s="13" t="s">
        <v>487</v>
      </c>
      <c r="J27" s="13">
        <v>1.0</v>
      </c>
      <c r="K27" s="13" t="s">
        <v>25</v>
      </c>
      <c r="L27" s="13" t="s">
        <v>27</v>
      </c>
      <c r="M27" s="13" t="s">
        <v>26</v>
      </c>
      <c r="N27" s="13" t="s">
        <v>488</v>
      </c>
      <c r="O27" s="13">
        <v>1.0</v>
      </c>
      <c r="P27" s="13" t="s">
        <v>25</v>
      </c>
      <c r="Q27" s="13" t="s">
        <v>26</v>
      </c>
      <c r="R27" s="13" t="s">
        <v>27</v>
      </c>
      <c r="S27" s="13" t="s">
        <v>489</v>
      </c>
      <c r="T27" s="13">
        <v>1.0</v>
      </c>
      <c r="U27" s="13" t="s">
        <v>25</v>
      </c>
      <c r="V27" s="13" t="s">
        <v>26</v>
      </c>
      <c r="W27" s="13" t="s">
        <v>27</v>
      </c>
      <c r="X27" s="13" t="s">
        <v>490</v>
      </c>
      <c r="Y27" s="13">
        <v>2.0</v>
      </c>
      <c r="Z27" s="13" t="s">
        <v>27</v>
      </c>
      <c r="AA27" s="13" t="s">
        <v>26</v>
      </c>
      <c r="AB27" s="13" t="s">
        <v>25</v>
      </c>
      <c r="AC27" s="13" t="s">
        <v>491</v>
      </c>
      <c r="AD27" s="13">
        <v>1.0</v>
      </c>
      <c r="AE27" s="13" t="s">
        <v>25</v>
      </c>
      <c r="AF27" s="13" t="s">
        <v>26</v>
      </c>
      <c r="AG27" s="13" t="s">
        <v>27</v>
      </c>
      <c r="AH27" s="13" t="s">
        <v>492</v>
      </c>
      <c r="AI27" s="13">
        <v>2.0</v>
      </c>
      <c r="AJ27" s="13" t="s">
        <v>25</v>
      </c>
      <c r="AK27" s="13" t="s">
        <v>26</v>
      </c>
      <c r="AL27" s="13" t="s">
        <v>27</v>
      </c>
      <c r="AM27" s="13" t="s">
        <v>493</v>
      </c>
      <c r="AN27" s="13">
        <v>1.0</v>
      </c>
      <c r="AO27" s="13" t="s">
        <v>26</v>
      </c>
      <c r="AP27" s="13" t="s">
        <v>25</v>
      </c>
      <c r="AQ27" s="13" t="s">
        <v>27</v>
      </c>
      <c r="AR27" s="13" t="s">
        <v>494</v>
      </c>
      <c r="AS27" s="13">
        <v>3.0</v>
      </c>
      <c r="AT27" s="27">
        <v>46205.3299537037</v>
      </c>
      <c r="AU27" s="27">
        <v>46205.340104166666</v>
      </c>
    </row>
    <row r="28">
      <c r="A28" s="11">
        <v>57.0</v>
      </c>
      <c r="B28" s="13" t="s">
        <v>203</v>
      </c>
      <c r="C28" s="13" t="s">
        <v>204</v>
      </c>
      <c r="D28" s="13" t="s">
        <v>206</v>
      </c>
      <c r="E28" s="13" t="s">
        <v>495</v>
      </c>
      <c r="F28" s="13" t="s">
        <v>25</v>
      </c>
      <c r="G28" s="13" t="s">
        <v>26</v>
      </c>
      <c r="H28" s="13" t="s">
        <v>27</v>
      </c>
      <c r="I28" s="13" t="s">
        <v>496</v>
      </c>
      <c r="J28" s="13">
        <v>2.0</v>
      </c>
      <c r="K28" s="13" t="s">
        <v>27</v>
      </c>
      <c r="L28" s="13" t="s">
        <v>25</v>
      </c>
      <c r="M28" s="13" t="s">
        <v>26</v>
      </c>
      <c r="N28" s="13" t="s">
        <v>497</v>
      </c>
      <c r="O28" s="13">
        <v>1.0</v>
      </c>
      <c r="P28" s="13" t="s">
        <v>26</v>
      </c>
      <c r="Q28" s="13" t="s">
        <v>25</v>
      </c>
      <c r="R28" s="13" t="s">
        <v>27</v>
      </c>
      <c r="S28" s="13" t="s">
        <v>498</v>
      </c>
      <c r="T28" s="13">
        <v>2.0</v>
      </c>
      <c r="U28" s="13" t="s">
        <v>26</v>
      </c>
      <c r="V28" s="13" t="s">
        <v>27</v>
      </c>
      <c r="W28" s="13" t="s">
        <v>25</v>
      </c>
      <c r="X28" s="13" t="s">
        <v>497</v>
      </c>
      <c r="Y28" s="13">
        <v>2.0</v>
      </c>
      <c r="Z28" s="13" t="s">
        <v>25</v>
      </c>
      <c r="AA28" s="13" t="s">
        <v>26</v>
      </c>
      <c r="AB28" s="13" t="s">
        <v>27</v>
      </c>
      <c r="AC28" s="13" t="s">
        <v>499</v>
      </c>
      <c r="AD28" s="13">
        <v>3.0</v>
      </c>
      <c r="AE28" s="13" t="s">
        <v>25</v>
      </c>
      <c r="AF28" s="13" t="s">
        <v>27</v>
      </c>
      <c r="AG28" s="13" t="s">
        <v>26</v>
      </c>
      <c r="AH28" s="13" t="s">
        <v>500</v>
      </c>
      <c r="AI28" s="13">
        <v>3.0</v>
      </c>
      <c r="AJ28" s="13" t="s">
        <v>25</v>
      </c>
      <c r="AK28" s="13" t="s">
        <v>26</v>
      </c>
      <c r="AL28" s="13" t="s">
        <v>27</v>
      </c>
      <c r="AM28" s="13" t="s">
        <v>501</v>
      </c>
      <c r="AN28" s="13">
        <v>3.0</v>
      </c>
      <c r="AO28" s="13" t="s">
        <v>25</v>
      </c>
      <c r="AP28" s="13" t="s">
        <v>27</v>
      </c>
      <c r="AQ28" s="13" t="s">
        <v>26</v>
      </c>
      <c r="AR28" s="13" t="s">
        <v>502</v>
      </c>
      <c r="AS28" s="13">
        <v>3.0</v>
      </c>
      <c r="AT28" s="27">
        <v>46205.34409722222</v>
      </c>
      <c r="AU28" s="27">
        <v>46205.36386574074</v>
      </c>
    </row>
    <row r="29">
      <c r="A29" s="11">
        <v>60.0</v>
      </c>
      <c r="B29" s="13" t="s">
        <v>206</v>
      </c>
      <c r="C29" s="13" t="s">
        <v>204</v>
      </c>
      <c r="D29" s="13" t="s">
        <v>203</v>
      </c>
      <c r="E29" s="13" t="s">
        <v>503</v>
      </c>
      <c r="F29" s="13" t="s">
        <v>26</v>
      </c>
      <c r="G29" s="13" t="s">
        <v>25</v>
      </c>
      <c r="H29" s="13" t="s">
        <v>27</v>
      </c>
      <c r="I29" s="13" t="s">
        <v>504</v>
      </c>
      <c r="J29" s="13">
        <v>1.0</v>
      </c>
      <c r="K29" s="13" t="s">
        <v>27</v>
      </c>
      <c r="L29" s="13" t="s">
        <v>25</v>
      </c>
      <c r="M29" s="13" t="s">
        <v>26</v>
      </c>
      <c r="N29" s="13" t="s">
        <v>506</v>
      </c>
      <c r="O29" s="13">
        <v>1.0</v>
      </c>
      <c r="P29" s="13" t="s">
        <v>26</v>
      </c>
      <c r="Q29" s="13" t="s">
        <v>25</v>
      </c>
      <c r="R29" s="13" t="s">
        <v>27</v>
      </c>
      <c r="S29" s="13" t="s">
        <v>508</v>
      </c>
      <c r="T29" s="13">
        <v>2.0</v>
      </c>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27">
        <v>46205.47818287037</v>
      </c>
      <c r="AU29" s="27">
        <v>46205.48167824074</v>
      </c>
    </row>
    <row r="30">
      <c r="A30" s="11">
        <v>61.0</v>
      </c>
      <c r="B30" s="13" t="s">
        <v>203</v>
      </c>
      <c r="C30" s="13" t="s">
        <v>206</v>
      </c>
      <c r="D30" s="13" t="s">
        <v>204</v>
      </c>
      <c r="E30" s="33"/>
      <c r="F30" s="13" t="s">
        <v>25</v>
      </c>
      <c r="G30" s="13" t="s">
        <v>26</v>
      </c>
      <c r="H30" s="13" t="s">
        <v>27</v>
      </c>
      <c r="I30" s="33"/>
      <c r="J30" s="13">
        <v>2.0</v>
      </c>
      <c r="K30" s="13" t="s">
        <v>27</v>
      </c>
      <c r="L30" s="13" t="s">
        <v>25</v>
      </c>
      <c r="M30" s="13" t="s">
        <v>26</v>
      </c>
      <c r="N30" s="13" t="s">
        <v>518</v>
      </c>
      <c r="O30" s="13">
        <v>1.0</v>
      </c>
      <c r="P30" s="13" t="s">
        <v>26</v>
      </c>
      <c r="Q30" s="13" t="s">
        <v>25</v>
      </c>
      <c r="R30" s="13" t="s">
        <v>27</v>
      </c>
      <c r="S30" s="13" t="s">
        <v>518</v>
      </c>
      <c r="T30" s="13">
        <v>1.0</v>
      </c>
      <c r="U30" s="13" t="s">
        <v>26</v>
      </c>
      <c r="V30" s="13" t="s">
        <v>25</v>
      </c>
      <c r="W30" s="13" t="s">
        <v>27</v>
      </c>
      <c r="X30" s="13" t="s">
        <v>518</v>
      </c>
      <c r="Y30" s="13">
        <v>2.0</v>
      </c>
      <c r="Z30" s="13" t="s">
        <v>26</v>
      </c>
      <c r="AA30" s="13" t="s">
        <v>25</v>
      </c>
      <c r="AB30" s="13" t="s">
        <v>27</v>
      </c>
      <c r="AC30" s="13" t="s">
        <v>524</v>
      </c>
      <c r="AD30" s="13">
        <v>1.0</v>
      </c>
      <c r="AE30" s="13" t="s">
        <v>25</v>
      </c>
      <c r="AF30" s="13" t="s">
        <v>26</v>
      </c>
      <c r="AG30" s="13" t="s">
        <v>27</v>
      </c>
      <c r="AH30" s="33"/>
      <c r="AI30" s="13">
        <v>3.0</v>
      </c>
      <c r="AJ30" s="13" t="s">
        <v>25</v>
      </c>
      <c r="AK30" s="13" t="s">
        <v>27</v>
      </c>
      <c r="AL30" s="13" t="s">
        <v>26</v>
      </c>
      <c r="AM30" s="33"/>
      <c r="AN30" s="13">
        <v>3.0</v>
      </c>
      <c r="AO30" s="13" t="s">
        <v>25</v>
      </c>
      <c r="AP30" s="13" t="s">
        <v>27</v>
      </c>
      <c r="AQ30" s="13" t="s">
        <v>26</v>
      </c>
      <c r="AR30" s="33"/>
      <c r="AS30" s="13">
        <v>2.0</v>
      </c>
      <c r="AT30" s="27">
        <v>46205.48357638889</v>
      </c>
      <c r="AU30" s="27">
        <v>46205.495046296295</v>
      </c>
    </row>
    <row r="31">
      <c r="A31" s="11">
        <v>63.0</v>
      </c>
      <c r="B31" s="13" t="s">
        <v>203</v>
      </c>
      <c r="C31" s="13" t="s">
        <v>206</v>
      </c>
      <c r="D31" s="13" t="s">
        <v>204</v>
      </c>
      <c r="E31" s="13" t="s">
        <v>526</v>
      </c>
      <c r="F31" s="13" t="s">
        <v>25</v>
      </c>
      <c r="G31" s="13" t="s">
        <v>27</v>
      </c>
      <c r="H31" s="13" t="s">
        <v>26</v>
      </c>
      <c r="I31" s="13" t="s">
        <v>527</v>
      </c>
      <c r="J31" s="13">
        <v>2.0</v>
      </c>
      <c r="K31" s="13" t="s">
        <v>27</v>
      </c>
      <c r="L31" s="13" t="s">
        <v>26</v>
      </c>
      <c r="M31" s="13" t="s">
        <v>25</v>
      </c>
      <c r="N31" s="13" t="s">
        <v>528</v>
      </c>
      <c r="O31" s="13">
        <v>1.0</v>
      </c>
      <c r="P31" s="13" t="s">
        <v>25</v>
      </c>
      <c r="Q31" s="13" t="s">
        <v>27</v>
      </c>
      <c r="R31" s="13" t="s">
        <v>26</v>
      </c>
      <c r="S31" s="13" t="s">
        <v>528</v>
      </c>
      <c r="T31" s="13">
        <v>2.0</v>
      </c>
      <c r="U31" s="13" t="s">
        <v>26</v>
      </c>
      <c r="V31" s="13" t="s">
        <v>25</v>
      </c>
      <c r="W31" s="13" t="s">
        <v>27</v>
      </c>
      <c r="X31" s="13" t="s">
        <v>529</v>
      </c>
      <c r="Y31" s="13">
        <v>2.0</v>
      </c>
      <c r="Z31" s="13" t="s">
        <v>26</v>
      </c>
      <c r="AA31" s="13" t="s">
        <v>25</v>
      </c>
      <c r="AB31" s="13" t="s">
        <v>27</v>
      </c>
      <c r="AC31" s="13" t="s">
        <v>531</v>
      </c>
      <c r="AD31" s="13">
        <v>3.0</v>
      </c>
      <c r="AE31" s="13" t="s">
        <v>25</v>
      </c>
      <c r="AF31" s="13" t="s">
        <v>26</v>
      </c>
      <c r="AG31" s="13" t="s">
        <v>27</v>
      </c>
      <c r="AH31" s="13" t="s">
        <v>533</v>
      </c>
      <c r="AI31" s="13">
        <v>2.0</v>
      </c>
      <c r="AJ31" s="13" t="s">
        <v>25</v>
      </c>
      <c r="AK31" s="13" t="s">
        <v>27</v>
      </c>
      <c r="AL31" s="13" t="s">
        <v>26</v>
      </c>
      <c r="AM31" s="13" t="s">
        <v>534</v>
      </c>
      <c r="AN31" s="13">
        <v>2.0</v>
      </c>
      <c r="AO31" s="13" t="s">
        <v>25</v>
      </c>
      <c r="AP31" s="13" t="s">
        <v>26</v>
      </c>
      <c r="AQ31" s="13" t="s">
        <v>27</v>
      </c>
      <c r="AR31" s="13" t="s">
        <v>535</v>
      </c>
      <c r="AS31" s="13">
        <v>2.0</v>
      </c>
      <c r="AT31" s="27">
        <v>46205.5105787037</v>
      </c>
      <c r="AU31" s="27">
        <v>46205.52195601852</v>
      </c>
    </row>
    <row r="32">
      <c r="A32" s="11">
        <v>65.0</v>
      </c>
      <c r="B32" s="13" t="s">
        <v>203</v>
      </c>
      <c r="C32" s="13" t="s">
        <v>204</v>
      </c>
      <c r="D32" s="13" t="s">
        <v>206</v>
      </c>
      <c r="E32" s="13" t="s">
        <v>537</v>
      </c>
      <c r="F32" s="13" t="s">
        <v>25</v>
      </c>
      <c r="G32" s="13" t="s">
        <v>26</v>
      </c>
      <c r="H32" s="13" t="s">
        <v>27</v>
      </c>
      <c r="I32" s="13" t="s">
        <v>537</v>
      </c>
      <c r="J32" s="13">
        <v>1.0</v>
      </c>
      <c r="K32" s="13" t="s">
        <v>27</v>
      </c>
      <c r="L32" s="13" t="s">
        <v>25</v>
      </c>
      <c r="M32" s="13" t="s">
        <v>26</v>
      </c>
      <c r="N32" s="13" t="s">
        <v>538</v>
      </c>
      <c r="O32" s="13">
        <v>1.0</v>
      </c>
      <c r="P32" s="13" t="s">
        <v>26</v>
      </c>
      <c r="Q32" s="13" t="s">
        <v>25</v>
      </c>
      <c r="R32" s="13" t="s">
        <v>27</v>
      </c>
      <c r="S32" s="13" t="s">
        <v>539</v>
      </c>
      <c r="T32" s="13">
        <v>1.0</v>
      </c>
      <c r="U32" s="13" t="s">
        <v>26</v>
      </c>
      <c r="V32" s="13" t="s">
        <v>25</v>
      </c>
      <c r="W32" s="13" t="s">
        <v>27</v>
      </c>
      <c r="X32" s="13" t="s">
        <v>541</v>
      </c>
      <c r="Y32" s="13">
        <v>1.0</v>
      </c>
      <c r="Z32" s="13" t="s">
        <v>25</v>
      </c>
      <c r="AA32" s="13" t="s">
        <v>26</v>
      </c>
      <c r="AB32" s="13" t="s">
        <v>27</v>
      </c>
      <c r="AC32" s="13" t="s">
        <v>542</v>
      </c>
      <c r="AD32" s="13">
        <v>1.0</v>
      </c>
      <c r="AE32" s="13" t="s">
        <v>27</v>
      </c>
      <c r="AF32" s="13" t="s">
        <v>25</v>
      </c>
      <c r="AG32" s="13" t="s">
        <v>26</v>
      </c>
      <c r="AH32" s="13" t="s">
        <v>542</v>
      </c>
      <c r="AI32" s="13">
        <v>1.0</v>
      </c>
      <c r="AJ32" s="13" t="s">
        <v>26</v>
      </c>
      <c r="AK32" s="13" t="s">
        <v>25</v>
      </c>
      <c r="AL32" s="13" t="s">
        <v>27</v>
      </c>
      <c r="AM32" s="13" t="s">
        <v>542</v>
      </c>
      <c r="AN32" s="13">
        <v>1.0</v>
      </c>
      <c r="AO32" s="13" t="s">
        <v>26</v>
      </c>
      <c r="AP32" s="13" t="s">
        <v>25</v>
      </c>
      <c r="AQ32" s="13" t="s">
        <v>27</v>
      </c>
      <c r="AR32" s="13" t="s">
        <v>544</v>
      </c>
      <c r="AS32" s="13">
        <v>1.0</v>
      </c>
      <c r="AT32" s="27">
        <v>46206.325844907406</v>
      </c>
      <c r="AU32" s="27">
        <v>46206.33298611111</v>
      </c>
    </row>
    <row r="33">
      <c r="A33" s="11">
        <v>68.0</v>
      </c>
      <c r="B33" s="13" t="s">
        <v>206</v>
      </c>
      <c r="C33" s="33"/>
      <c r="D33" s="33"/>
      <c r="E33" s="13" t="s">
        <v>545</v>
      </c>
      <c r="F33" s="13" t="s">
        <v>25</v>
      </c>
      <c r="G33" s="13" t="s">
        <v>26</v>
      </c>
      <c r="H33" s="13" t="s">
        <v>27</v>
      </c>
      <c r="I33" s="13" t="s">
        <v>546</v>
      </c>
      <c r="J33" s="13">
        <v>1.0</v>
      </c>
      <c r="K33" s="13" t="s">
        <v>27</v>
      </c>
      <c r="L33" s="13" t="s">
        <v>26</v>
      </c>
      <c r="M33" s="13" t="s">
        <v>25</v>
      </c>
      <c r="N33" s="13" t="s">
        <v>547</v>
      </c>
      <c r="O33" s="13">
        <v>1.0</v>
      </c>
      <c r="P33" s="13" t="s">
        <v>26</v>
      </c>
      <c r="Q33" s="13" t="s">
        <v>25</v>
      </c>
      <c r="R33" s="13" t="s">
        <v>27</v>
      </c>
      <c r="S33" s="13" t="s">
        <v>548</v>
      </c>
      <c r="T33" s="13">
        <v>2.0</v>
      </c>
      <c r="U33" s="13" t="s">
        <v>25</v>
      </c>
      <c r="V33" s="13" t="s">
        <v>26</v>
      </c>
      <c r="W33" s="13" t="s">
        <v>27</v>
      </c>
      <c r="X33" s="13" t="s">
        <v>549</v>
      </c>
      <c r="Y33" s="13">
        <v>1.0</v>
      </c>
      <c r="Z33" s="13" t="s">
        <v>26</v>
      </c>
      <c r="AA33" s="13" t="s">
        <v>27</v>
      </c>
      <c r="AB33" s="13" t="s">
        <v>25</v>
      </c>
      <c r="AC33" s="13" t="s">
        <v>552</v>
      </c>
      <c r="AD33" s="13">
        <v>2.0</v>
      </c>
      <c r="AE33" s="13" t="s">
        <v>25</v>
      </c>
      <c r="AF33" s="13" t="s">
        <v>26</v>
      </c>
      <c r="AG33" s="13" t="s">
        <v>27</v>
      </c>
      <c r="AH33" s="13" t="s">
        <v>553</v>
      </c>
      <c r="AI33" s="13">
        <v>2.0</v>
      </c>
      <c r="AJ33" s="13" t="s">
        <v>27</v>
      </c>
      <c r="AK33" s="13" t="s">
        <v>25</v>
      </c>
      <c r="AL33" s="13" t="s">
        <v>26</v>
      </c>
      <c r="AM33" s="13" t="s">
        <v>554</v>
      </c>
      <c r="AN33" s="13">
        <v>3.0</v>
      </c>
      <c r="AO33" s="13" t="s">
        <v>25</v>
      </c>
      <c r="AP33" s="13" t="s">
        <v>26</v>
      </c>
      <c r="AQ33" s="13" t="s">
        <v>27</v>
      </c>
      <c r="AR33" s="13" t="s">
        <v>555</v>
      </c>
      <c r="AS33" s="13">
        <v>3.0</v>
      </c>
      <c r="AT33" s="27">
        <v>46207.23658564815</v>
      </c>
      <c r="AU33" s="27">
        <v>46207.255057870374</v>
      </c>
    </row>
    <row r="34">
      <c r="A34" s="11">
        <v>74.0</v>
      </c>
      <c r="B34" s="13" t="s">
        <v>203</v>
      </c>
      <c r="C34" s="13" t="s">
        <v>204</v>
      </c>
      <c r="D34" s="13" t="s">
        <v>206</v>
      </c>
      <c r="E34" s="13" t="s">
        <v>556</v>
      </c>
      <c r="F34" s="13" t="s">
        <v>25</v>
      </c>
      <c r="G34" s="13" t="s">
        <v>27</v>
      </c>
      <c r="H34" s="13" t="s">
        <v>26</v>
      </c>
      <c r="I34" s="13" t="s">
        <v>557</v>
      </c>
      <c r="J34" s="13">
        <v>3.0</v>
      </c>
      <c r="K34" s="13" t="s">
        <v>25</v>
      </c>
      <c r="L34" s="13" t="s">
        <v>27</v>
      </c>
      <c r="M34" s="13" t="s">
        <v>26</v>
      </c>
      <c r="N34" s="13" t="s">
        <v>558</v>
      </c>
      <c r="O34" s="13">
        <v>2.0</v>
      </c>
      <c r="P34" s="13" t="s">
        <v>26</v>
      </c>
      <c r="Q34" s="13" t="s">
        <v>25</v>
      </c>
      <c r="R34" s="13" t="s">
        <v>27</v>
      </c>
      <c r="S34" s="13" t="s">
        <v>559</v>
      </c>
      <c r="T34" s="13">
        <v>1.0</v>
      </c>
      <c r="U34" s="13" t="s">
        <v>25</v>
      </c>
      <c r="V34" s="13" t="s">
        <v>27</v>
      </c>
      <c r="W34" s="13" t="s">
        <v>26</v>
      </c>
      <c r="X34" s="13" t="s">
        <v>561</v>
      </c>
      <c r="Y34" s="13">
        <v>2.0</v>
      </c>
      <c r="Z34" s="13" t="s">
        <v>25</v>
      </c>
      <c r="AA34" s="13" t="s">
        <v>27</v>
      </c>
      <c r="AB34" s="13" t="s">
        <v>26</v>
      </c>
      <c r="AC34" s="13" t="s">
        <v>562</v>
      </c>
      <c r="AD34" s="13">
        <v>3.0</v>
      </c>
      <c r="AE34" s="13" t="s">
        <v>25</v>
      </c>
      <c r="AF34" s="13" t="s">
        <v>26</v>
      </c>
      <c r="AG34" s="13" t="s">
        <v>27</v>
      </c>
      <c r="AH34" s="13" t="s">
        <v>563</v>
      </c>
      <c r="AI34" s="13">
        <v>3.0</v>
      </c>
      <c r="AJ34" s="13" t="s">
        <v>25</v>
      </c>
      <c r="AK34" s="13" t="s">
        <v>27</v>
      </c>
      <c r="AL34" s="13" t="s">
        <v>26</v>
      </c>
      <c r="AM34" s="13" t="s">
        <v>564</v>
      </c>
      <c r="AN34" s="13">
        <v>2.0</v>
      </c>
      <c r="AO34" s="13" t="s">
        <v>25</v>
      </c>
      <c r="AP34" s="13" t="s">
        <v>27</v>
      </c>
      <c r="AQ34" s="13" t="s">
        <v>26</v>
      </c>
      <c r="AR34" s="13" t="s">
        <v>566</v>
      </c>
      <c r="AS34" s="13">
        <v>2.0</v>
      </c>
      <c r="AT34" s="27">
        <v>46208.52638888889</v>
      </c>
      <c r="AU34" s="27">
        <v>46208.54837962963</v>
      </c>
    </row>
    <row r="35">
      <c r="A35" s="11">
        <v>76.0</v>
      </c>
      <c r="B35" s="13" t="s">
        <v>204</v>
      </c>
      <c r="C35" s="13" t="s">
        <v>203</v>
      </c>
      <c r="D35" s="13" t="s">
        <v>206</v>
      </c>
      <c r="E35" s="13" t="s">
        <v>571</v>
      </c>
      <c r="F35" s="13" t="s">
        <v>25</v>
      </c>
      <c r="G35" s="13" t="s">
        <v>26</v>
      </c>
      <c r="H35" s="13" t="s">
        <v>27</v>
      </c>
      <c r="I35" s="13" t="s">
        <v>575</v>
      </c>
      <c r="J35" s="13">
        <v>3.0</v>
      </c>
      <c r="K35" s="13" t="s">
        <v>27</v>
      </c>
      <c r="L35" s="13" t="s">
        <v>25</v>
      </c>
      <c r="M35" s="13" t="s">
        <v>26</v>
      </c>
      <c r="N35" s="13" t="s">
        <v>579</v>
      </c>
      <c r="O35" s="13">
        <v>3.0</v>
      </c>
      <c r="P35" s="13" t="s">
        <v>26</v>
      </c>
      <c r="Q35" s="13" t="s">
        <v>25</v>
      </c>
      <c r="R35" s="13" t="s">
        <v>27</v>
      </c>
      <c r="S35" s="13" t="s">
        <v>579</v>
      </c>
      <c r="T35" s="13">
        <v>3.0</v>
      </c>
      <c r="U35" s="13" t="s">
        <v>26</v>
      </c>
      <c r="V35" s="13" t="s">
        <v>25</v>
      </c>
      <c r="W35" s="13" t="s">
        <v>27</v>
      </c>
      <c r="X35" s="13" t="s">
        <v>579</v>
      </c>
      <c r="Y35" s="13">
        <v>3.0</v>
      </c>
      <c r="Z35" s="13" t="s">
        <v>26</v>
      </c>
      <c r="AA35" s="13" t="s">
        <v>27</v>
      </c>
      <c r="AB35" s="13" t="s">
        <v>25</v>
      </c>
      <c r="AC35" s="13" t="s">
        <v>590</v>
      </c>
      <c r="AD35" s="13">
        <v>3.0</v>
      </c>
      <c r="AE35" s="13" t="s">
        <v>26</v>
      </c>
      <c r="AF35" s="13" t="s">
        <v>25</v>
      </c>
      <c r="AG35" s="13" t="s">
        <v>27</v>
      </c>
      <c r="AH35" s="13" t="s">
        <v>579</v>
      </c>
      <c r="AI35" s="13">
        <v>3.0</v>
      </c>
      <c r="AJ35" s="13" t="s">
        <v>25</v>
      </c>
      <c r="AK35" s="13" t="s">
        <v>27</v>
      </c>
      <c r="AL35" s="13" t="s">
        <v>26</v>
      </c>
      <c r="AM35" s="13" t="s">
        <v>595</v>
      </c>
      <c r="AN35" s="13">
        <v>4.0</v>
      </c>
      <c r="AO35" s="13" t="s">
        <v>25</v>
      </c>
      <c r="AP35" s="13" t="s">
        <v>27</v>
      </c>
      <c r="AQ35" s="13" t="s">
        <v>26</v>
      </c>
      <c r="AR35" s="13" t="s">
        <v>579</v>
      </c>
      <c r="AS35" s="13">
        <v>3.0</v>
      </c>
      <c r="AT35" s="27">
        <v>46209.37038194444</v>
      </c>
      <c r="AU35" s="27">
        <v>46209.375972222224</v>
      </c>
    </row>
    <row r="36">
      <c r="A36" s="11">
        <v>77.0</v>
      </c>
      <c r="B36" s="13" t="s">
        <v>203</v>
      </c>
      <c r="C36" s="13" t="s">
        <v>204</v>
      </c>
      <c r="D36" s="13" t="s">
        <v>206</v>
      </c>
      <c r="E36" s="13" t="s">
        <v>600</v>
      </c>
      <c r="F36" s="13" t="s">
        <v>25</v>
      </c>
      <c r="G36" s="13" t="s">
        <v>26</v>
      </c>
      <c r="H36" s="13" t="s">
        <v>27</v>
      </c>
      <c r="I36" s="13" t="s">
        <v>601</v>
      </c>
      <c r="J36" s="13">
        <v>1.0</v>
      </c>
      <c r="K36" s="13" t="s">
        <v>27</v>
      </c>
      <c r="L36" s="13" t="s">
        <v>25</v>
      </c>
      <c r="M36" s="13" t="s">
        <v>26</v>
      </c>
      <c r="N36" s="13" t="s">
        <v>601</v>
      </c>
      <c r="O36" s="13">
        <v>1.0</v>
      </c>
      <c r="P36" s="13" t="s">
        <v>26</v>
      </c>
      <c r="Q36" s="13" t="s">
        <v>25</v>
      </c>
      <c r="R36" s="13" t="s">
        <v>27</v>
      </c>
      <c r="S36" s="13" t="s">
        <v>601</v>
      </c>
      <c r="T36" s="13">
        <v>1.0</v>
      </c>
      <c r="U36" s="13" t="s">
        <v>26</v>
      </c>
      <c r="V36" s="13" t="s">
        <v>25</v>
      </c>
      <c r="W36" s="13" t="s">
        <v>27</v>
      </c>
      <c r="X36" s="13" t="s">
        <v>601</v>
      </c>
      <c r="Y36" s="13">
        <v>1.0</v>
      </c>
      <c r="Z36" s="13" t="s">
        <v>27</v>
      </c>
      <c r="AA36" s="13" t="s">
        <v>26</v>
      </c>
      <c r="AB36" s="13" t="s">
        <v>25</v>
      </c>
      <c r="AC36" s="13" t="s">
        <v>605</v>
      </c>
      <c r="AD36" s="13">
        <v>3.0</v>
      </c>
      <c r="AE36" s="13" t="s">
        <v>26</v>
      </c>
      <c r="AF36" s="13" t="s">
        <v>25</v>
      </c>
      <c r="AG36" s="13" t="s">
        <v>27</v>
      </c>
      <c r="AH36" s="13" t="s">
        <v>606</v>
      </c>
      <c r="AI36" s="13">
        <v>3.0</v>
      </c>
      <c r="AJ36" s="13" t="s">
        <v>27</v>
      </c>
      <c r="AK36" s="13" t="s">
        <v>25</v>
      </c>
      <c r="AL36" s="13" t="s">
        <v>26</v>
      </c>
      <c r="AM36" s="13" t="s">
        <v>609</v>
      </c>
      <c r="AN36" s="13">
        <v>1.0</v>
      </c>
      <c r="AO36" s="13" t="s">
        <v>27</v>
      </c>
      <c r="AP36" s="13" t="s">
        <v>25</v>
      </c>
      <c r="AQ36" s="13" t="s">
        <v>26</v>
      </c>
      <c r="AR36" s="13" t="s">
        <v>612</v>
      </c>
      <c r="AS36" s="13">
        <v>2.0</v>
      </c>
      <c r="AT36" s="27">
        <v>46209.37893518519</v>
      </c>
      <c r="AU36" s="27">
        <v>46209.38898148148</v>
      </c>
    </row>
    <row r="37">
      <c r="A37" s="11">
        <v>78.0</v>
      </c>
      <c r="B37" s="13" t="s">
        <v>204</v>
      </c>
      <c r="C37" s="13" t="s">
        <v>203</v>
      </c>
      <c r="D37" s="13" t="s">
        <v>206</v>
      </c>
      <c r="E37" s="13" t="s">
        <v>617</v>
      </c>
      <c r="F37" s="13" t="s">
        <v>25</v>
      </c>
      <c r="G37" s="13" t="s">
        <v>26</v>
      </c>
      <c r="H37" s="13" t="s">
        <v>27</v>
      </c>
      <c r="I37" s="13" t="s">
        <v>618</v>
      </c>
      <c r="J37" s="13">
        <v>1.0</v>
      </c>
      <c r="K37" s="13" t="s">
        <v>27</v>
      </c>
      <c r="L37" s="13" t="s">
        <v>25</v>
      </c>
      <c r="M37" s="13" t="s">
        <v>26</v>
      </c>
      <c r="N37" s="13" t="s">
        <v>620</v>
      </c>
      <c r="O37" s="13">
        <v>1.0</v>
      </c>
      <c r="P37" s="13" t="s">
        <v>26</v>
      </c>
      <c r="Q37" s="13" t="s">
        <v>25</v>
      </c>
      <c r="R37" s="13" t="s">
        <v>27</v>
      </c>
      <c r="S37" s="13" t="s">
        <v>620</v>
      </c>
      <c r="T37" s="13">
        <v>2.0</v>
      </c>
      <c r="U37" s="13" t="s">
        <v>26</v>
      </c>
      <c r="V37" s="13" t="s">
        <v>27</v>
      </c>
      <c r="W37" s="13" t="s">
        <v>25</v>
      </c>
      <c r="X37" s="13" t="s">
        <v>623</v>
      </c>
      <c r="Y37" s="13">
        <v>1.0</v>
      </c>
      <c r="Z37" s="13" t="s">
        <v>26</v>
      </c>
      <c r="AA37" s="13" t="s">
        <v>25</v>
      </c>
      <c r="AB37" s="13" t="s">
        <v>27</v>
      </c>
      <c r="AC37" s="13" t="s">
        <v>625</v>
      </c>
      <c r="AD37" s="13">
        <v>3.0</v>
      </c>
      <c r="AE37" s="13" t="s">
        <v>25</v>
      </c>
      <c r="AF37" s="13" t="s">
        <v>27</v>
      </c>
      <c r="AG37" s="13" t="s">
        <v>26</v>
      </c>
      <c r="AH37" s="13" t="s">
        <v>626</v>
      </c>
      <c r="AI37" s="13">
        <v>3.0</v>
      </c>
      <c r="AJ37" s="13" t="s">
        <v>25</v>
      </c>
      <c r="AK37" s="13" t="s">
        <v>27</v>
      </c>
      <c r="AL37" s="13" t="s">
        <v>26</v>
      </c>
      <c r="AM37" s="13" t="s">
        <v>628</v>
      </c>
      <c r="AN37" s="13">
        <v>4.0</v>
      </c>
      <c r="AO37" s="13" t="s">
        <v>25</v>
      </c>
      <c r="AP37" s="13" t="s">
        <v>27</v>
      </c>
      <c r="AQ37" s="13" t="s">
        <v>26</v>
      </c>
      <c r="AR37" s="13" t="s">
        <v>629</v>
      </c>
      <c r="AS37" s="13">
        <v>4.0</v>
      </c>
      <c r="AT37" s="27">
        <v>46209.42938657408</v>
      </c>
      <c r="AU37" s="27">
        <v>46209.44417824074</v>
      </c>
    </row>
    <row r="38">
      <c r="A38" s="11">
        <v>79.0</v>
      </c>
      <c r="B38" s="13" t="s">
        <v>203</v>
      </c>
      <c r="C38" s="13" t="s">
        <v>204</v>
      </c>
      <c r="D38" s="13" t="s">
        <v>206</v>
      </c>
      <c r="E38" s="13" t="s">
        <v>631</v>
      </c>
      <c r="F38" s="13" t="s">
        <v>25</v>
      </c>
      <c r="G38" s="13" t="s">
        <v>26</v>
      </c>
      <c r="H38" s="13" t="s">
        <v>27</v>
      </c>
      <c r="I38" s="13" t="s">
        <v>632</v>
      </c>
      <c r="J38" s="13">
        <v>1.0</v>
      </c>
      <c r="K38" s="13" t="s">
        <v>27</v>
      </c>
      <c r="L38" s="13" t="s">
        <v>25</v>
      </c>
      <c r="M38" s="13" t="s">
        <v>26</v>
      </c>
      <c r="N38" s="13" t="s">
        <v>632</v>
      </c>
      <c r="O38" s="13">
        <v>1.0</v>
      </c>
      <c r="P38" s="13" t="s">
        <v>26</v>
      </c>
      <c r="Q38" s="13" t="s">
        <v>25</v>
      </c>
      <c r="R38" s="13" t="s">
        <v>27</v>
      </c>
      <c r="S38" s="13" t="s">
        <v>634</v>
      </c>
      <c r="T38" s="13">
        <v>1.0</v>
      </c>
      <c r="U38" s="13" t="s">
        <v>26</v>
      </c>
      <c r="V38" s="13" t="s">
        <v>25</v>
      </c>
      <c r="W38" s="13" t="s">
        <v>27</v>
      </c>
      <c r="X38" s="13" t="s">
        <v>632</v>
      </c>
      <c r="Y38" s="13">
        <v>1.0</v>
      </c>
      <c r="Z38" s="13" t="s">
        <v>26</v>
      </c>
      <c r="AA38" s="13" t="s">
        <v>27</v>
      </c>
      <c r="AB38" s="13" t="s">
        <v>25</v>
      </c>
      <c r="AC38" s="13" t="s">
        <v>636</v>
      </c>
      <c r="AD38" s="13">
        <v>2.0</v>
      </c>
      <c r="AE38" s="13" t="s">
        <v>25</v>
      </c>
      <c r="AF38" s="13" t="s">
        <v>26</v>
      </c>
      <c r="AG38" s="13" t="s">
        <v>27</v>
      </c>
      <c r="AH38" s="13" t="s">
        <v>637</v>
      </c>
      <c r="AI38" s="13">
        <v>2.0</v>
      </c>
      <c r="AJ38" s="13" t="s">
        <v>25</v>
      </c>
      <c r="AK38" s="13" t="s">
        <v>27</v>
      </c>
      <c r="AL38" s="13" t="s">
        <v>26</v>
      </c>
      <c r="AM38" s="13" t="s">
        <v>637</v>
      </c>
      <c r="AN38" s="13">
        <v>2.0</v>
      </c>
      <c r="AO38" s="13" t="s">
        <v>25</v>
      </c>
      <c r="AP38" s="13" t="s">
        <v>27</v>
      </c>
      <c r="AQ38" s="13" t="s">
        <v>26</v>
      </c>
      <c r="AR38" s="13" t="s">
        <v>642</v>
      </c>
      <c r="AS38" s="13">
        <v>1.0</v>
      </c>
      <c r="AT38" s="27">
        <v>46209.43037037037</v>
      </c>
      <c r="AU38" s="27">
        <v>46209.444074074076</v>
      </c>
    </row>
    <row r="39">
      <c r="A39" s="11">
        <v>80.0</v>
      </c>
      <c r="B39" s="13" t="s">
        <v>204</v>
      </c>
      <c r="C39" s="13" t="s">
        <v>203</v>
      </c>
      <c r="D39" s="13" t="s">
        <v>206</v>
      </c>
      <c r="E39" s="13" t="s">
        <v>644</v>
      </c>
      <c r="F39" s="13" t="s">
        <v>25</v>
      </c>
      <c r="G39" s="13" t="s">
        <v>26</v>
      </c>
      <c r="H39" s="13" t="s">
        <v>27</v>
      </c>
      <c r="I39" s="13" t="s">
        <v>646</v>
      </c>
      <c r="J39" s="13">
        <v>1.0</v>
      </c>
      <c r="K39" s="13" t="s">
        <v>25</v>
      </c>
      <c r="L39" s="13" t="s">
        <v>27</v>
      </c>
      <c r="M39" s="13" t="s">
        <v>26</v>
      </c>
      <c r="N39" s="13" t="s">
        <v>647</v>
      </c>
      <c r="O39" s="13">
        <v>1.0</v>
      </c>
      <c r="P39" s="13" t="s">
        <v>26</v>
      </c>
      <c r="Q39" s="13" t="s">
        <v>25</v>
      </c>
      <c r="R39" s="13" t="s">
        <v>27</v>
      </c>
      <c r="S39" s="13" t="s">
        <v>649</v>
      </c>
      <c r="T39" s="13">
        <v>1.0</v>
      </c>
      <c r="U39" s="13" t="s">
        <v>26</v>
      </c>
      <c r="V39" s="13" t="s">
        <v>25</v>
      </c>
      <c r="W39" s="13" t="s">
        <v>27</v>
      </c>
      <c r="X39" s="13" t="s">
        <v>650</v>
      </c>
      <c r="Y39" s="13">
        <v>1.0</v>
      </c>
      <c r="Z39" s="13" t="s">
        <v>26</v>
      </c>
      <c r="AA39" s="13" t="s">
        <v>27</v>
      </c>
      <c r="AB39" s="13" t="s">
        <v>25</v>
      </c>
      <c r="AC39" s="13" t="s">
        <v>649</v>
      </c>
      <c r="AD39" s="13">
        <v>1.0</v>
      </c>
      <c r="AE39" s="13" t="s">
        <v>26</v>
      </c>
      <c r="AF39" s="13" t="s">
        <v>25</v>
      </c>
      <c r="AG39" s="13" t="s">
        <v>27</v>
      </c>
      <c r="AH39" s="13" t="s">
        <v>646</v>
      </c>
      <c r="AI39" s="13">
        <v>1.0</v>
      </c>
      <c r="AJ39" s="13" t="s">
        <v>25</v>
      </c>
      <c r="AK39" s="13" t="s">
        <v>26</v>
      </c>
      <c r="AL39" s="13" t="s">
        <v>27</v>
      </c>
      <c r="AM39" s="13" t="s">
        <v>652</v>
      </c>
      <c r="AN39" s="13">
        <v>1.0</v>
      </c>
      <c r="AO39" s="13" t="s">
        <v>25</v>
      </c>
      <c r="AP39" s="13" t="s">
        <v>27</v>
      </c>
      <c r="AQ39" s="13" t="s">
        <v>26</v>
      </c>
      <c r="AR39" s="13" t="s">
        <v>654</v>
      </c>
      <c r="AS39" s="13">
        <v>1.0</v>
      </c>
      <c r="AT39" s="27">
        <v>46209.52835648148</v>
      </c>
      <c r="AU39" s="27">
        <v>46209.53726851852</v>
      </c>
    </row>
    <row r="40">
      <c r="A40" s="11">
        <v>81.0</v>
      </c>
      <c r="B40" s="13" t="s">
        <v>203</v>
      </c>
      <c r="C40" s="13" t="s">
        <v>206</v>
      </c>
      <c r="D40" s="13" t="s">
        <v>204</v>
      </c>
      <c r="E40" s="13" t="s">
        <v>656</v>
      </c>
      <c r="F40" s="13" t="s">
        <v>25</v>
      </c>
      <c r="G40" s="13" t="s">
        <v>27</v>
      </c>
      <c r="H40" s="13" t="s">
        <v>26</v>
      </c>
      <c r="I40" s="13" t="s">
        <v>657</v>
      </c>
      <c r="J40" s="13">
        <v>3.0</v>
      </c>
      <c r="K40" s="13" t="s">
        <v>27</v>
      </c>
      <c r="L40" s="13" t="s">
        <v>25</v>
      </c>
      <c r="M40" s="13" t="s">
        <v>26</v>
      </c>
      <c r="N40" s="13" t="s">
        <v>658</v>
      </c>
      <c r="O40" s="13">
        <v>3.0</v>
      </c>
      <c r="P40" s="13" t="s">
        <v>26</v>
      </c>
      <c r="Q40" s="13" t="s">
        <v>25</v>
      </c>
      <c r="R40" s="13" t="s">
        <v>27</v>
      </c>
      <c r="S40" s="13" t="s">
        <v>660</v>
      </c>
      <c r="T40" s="13">
        <v>3.0</v>
      </c>
      <c r="U40" s="13" t="s">
        <v>26</v>
      </c>
      <c r="V40" s="13" t="s">
        <v>25</v>
      </c>
      <c r="W40" s="13" t="s">
        <v>27</v>
      </c>
      <c r="X40" s="13" t="s">
        <v>661</v>
      </c>
      <c r="Y40" s="13">
        <v>3.0</v>
      </c>
      <c r="Z40" s="13" t="s">
        <v>27</v>
      </c>
      <c r="AA40" s="13" t="s">
        <v>25</v>
      </c>
      <c r="AB40" s="13" t="s">
        <v>26</v>
      </c>
      <c r="AC40" s="13" t="s">
        <v>664</v>
      </c>
      <c r="AD40" s="13">
        <v>3.0</v>
      </c>
      <c r="AE40" s="13" t="s">
        <v>26</v>
      </c>
      <c r="AF40" s="13" t="s">
        <v>25</v>
      </c>
      <c r="AG40" s="13" t="s">
        <v>27</v>
      </c>
      <c r="AH40" s="13" t="s">
        <v>667</v>
      </c>
      <c r="AI40" s="13">
        <v>3.0</v>
      </c>
      <c r="AJ40" s="13" t="s">
        <v>25</v>
      </c>
      <c r="AK40" s="13" t="s">
        <v>27</v>
      </c>
      <c r="AL40" s="13" t="s">
        <v>26</v>
      </c>
      <c r="AM40" s="13" t="s">
        <v>670</v>
      </c>
      <c r="AN40" s="13">
        <v>3.0</v>
      </c>
      <c r="AO40" s="13" t="s">
        <v>25</v>
      </c>
      <c r="AP40" s="13" t="s">
        <v>27</v>
      </c>
      <c r="AQ40" s="13" t="s">
        <v>26</v>
      </c>
      <c r="AR40" s="13" t="s">
        <v>671</v>
      </c>
      <c r="AS40" s="13">
        <v>3.0</v>
      </c>
      <c r="AT40" s="27">
        <v>46209.661886574075</v>
      </c>
      <c r="AU40" s="27">
        <v>46209.6853125</v>
      </c>
    </row>
    <row r="41">
      <c r="A41" s="11">
        <v>82.0</v>
      </c>
      <c r="B41" s="13" t="s">
        <v>204</v>
      </c>
      <c r="C41" s="13" t="s">
        <v>206</v>
      </c>
      <c r="D41" s="13" t="s">
        <v>203</v>
      </c>
      <c r="E41" s="13" t="s">
        <v>674</v>
      </c>
      <c r="F41" s="13" t="s">
        <v>25</v>
      </c>
      <c r="G41" s="13" t="s">
        <v>26</v>
      </c>
      <c r="H41" s="13" t="s">
        <v>27</v>
      </c>
      <c r="I41" s="13" t="s">
        <v>676</v>
      </c>
      <c r="J41" s="13">
        <v>1.0</v>
      </c>
      <c r="K41" s="13" t="s">
        <v>27</v>
      </c>
      <c r="L41" s="13" t="s">
        <v>25</v>
      </c>
      <c r="M41" s="13" t="s">
        <v>26</v>
      </c>
      <c r="N41" s="13" t="s">
        <v>677</v>
      </c>
      <c r="O41" s="13">
        <v>1.0</v>
      </c>
      <c r="P41" s="13" t="s">
        <v>25</v>
      </c>
      <c r="Q41" s="13" t="s">
        <v>26</v>
      </c>
      <c r="R41" s="13" t="s">
        <v>27</v>
      </c>
      <c r="S41" s="13" t="s">
        <v>678</v>
      </c>
      <c r="T41" s="13">
        <v>1.0</v>
      </c>
      <c r="U41" s="13" t="s">
        <v>26</v>
      </c>
      <c r="V41" s="13" t="s">
        <v>25</v>
      </c>
      <c r="W41" s="13" t="s">
        <v>27</v>
      </c>
      <c r="X41" s="13" t="s">
        <v>679</v>
      </c>
      <c r="Y41" s="13">
        <v>1.0</v>
      </c>
      <c r="Z41" s="13" t="s">
        <v>25</v>
      </c>
      <c r="AA41" s="13" t="s">
        <v>26</v>
      </c>
      <c r="AB41" s="13" t="s">
        <v>27</v>
      </c>
      <c r="AC41" s="13" t="s">
        <v>681</v>
      </c>
      <c r="AD41" s="13">
        <v>1.0</v>
      </c>
      <c r="AE41" s="13" t="s">
        <v>25</v>
      </c>
      <c r="AF41" s="13" t="s">
        <v>27</v>
      </c>
      <c r="AG41" s="13" t="s">
        <v>26</v>
      </c>
      <c r="AH41" s="13" t="s">
        <v>683</v>
      </c>
      <c r="AI41" s="13">
        <v>2.0</v>
      </c>
      <c r="AJ41" s="13" t="s">
        <v>25</v>
      </c>
      <c r="AK41" s="13" t="s">
        <v>26</v>
      </c>
      <c r="AL41" s="13" t="s">
        <v>27</v>
      </c>
      <c r="AM41" s="13" t="s">
        <v>685</v>
      </c>
      <c r="AN41" s="13">
        <v>1.0</v>
      </c>
      <c r="AO41" s="13" t="s">
        <v>26</v>
      </c>
      <c r="AP41" s="13" t="s">
        <v>25</v>
      </c>
      <c r="AQ41" s="13" t="s">
        <v>27</v>
      </c>
      <c r="AR41" s="13" t="s">
        <v>686</v>
      </c>
      <c r="AS41" s="13">
        <v>1.0</v>
      </c>
      <c r="AT41" s="27">
        <v>46209.833136574074</v>
      </c>
      <c r="AU41" s="27">
        <v>46209.8525</v>
      </c>
    </row>
    <row r="42">
      <c r="A42" s="11">
        <v>83.0</v>
      </c>
      <c r="B42" s="13" t="s">
        <v>203</v>
      </c>
      <c r="C42" s="13" t="s">
        <v>204</v>
      </c>
      <c r="D42" s="13" t="s">
        <v>206</v>
      </c>
      <c r="E42" s="13" t="s">
        <v>688</v>
      </c>
      <c r="F42" s="13" t="s">
        <v>25</v>
      </c>
      <c r="G42" s="13" t="s">
        <v>26</v>
      </c>
      <c r="H42" s="13" t="s">
        <v>27</v>
      </c>
      <c r="I42" s="13" t="s">
        <v>689</v>
      </c>
      <c r="J42" s="13">
        <v>1.0</v>
      </c>
      <c r="K42" s="13" t="s">
        <v>27</v>
      </c>
      <c r="L42" s="13" t="s">
        <v>25</v>
      </c>
      <c r="M42" s="13" t="s">
        <v>26</v>
      </c>
      <c r="N42" s="13" t="s">
        <v>691</v>
      </c>
      <c r="O42" s="13">
        <v>1.0</v>
      </c>
      <c r="P42" s="13" t="s">
        <v>26</v>
      </c>
      <c r="Q42" s="13" t="s">
        <v>25</v>
      </c>
      <c r="R42" s="13" t="s">
        <v>27</v>
      </c>
      <c r="S42" s="13" t="s">
        <v>692</v>
      </c>
      <c r="T42" s="13">
        <v>1.0</v>
      </c>
      <c r="U42" s="13" t="s">
        <v>26</v>
      </c>
      <c r="V42" s="13" t="s">
        <v>25</v>
      </c>
      <c r="W42" s="13" t="s">
        <v>27</v>
      </c>
      <c r="X42" s="13" t="s">
        <v>697</v>
      </c>
      <c r="Y42" s="13">
        <v>1.0</v>
      </c>
      <c r="Z42" s="13" t="s">
        <v>27</v>
      </c>
      <c r="AA42" s="13" t="s">
        <v>26</v>
      </c>
      <c r="AB42" s="13" t="s">
        <v>25</v>
      </c>
      <c r="AC42" s="13" t="s">
        <v>699</v>
      </c>
      <c r="AD42" s="13">
        <v>1.0</v>
      </c>
      <c r="AE42" s="13" t="s">
        <v>25</v>
      </c>
      <c r="AF42" s="13" t="s">
        <v>26</v>
      </c>
      <c r="AG42" s="13" t="s">
        <v>27</v>
      </c>
      <c r="AH42" s="13" t="s">
        <v>701</v>
      </c>
      <c r="AI42" s="13">
        <v>3.0</v>
      </c>
      <c r="AJ42" s="13" t="s">
        <v>25</v>
      </c>
      <c r="AK42" s="13" t="s">
        <v>27</v>
      </c>
      <c r="AL42" s="13" t="s">
        <v>26</v>
      </c>
      <c r="AM42" s="13" t="s">
        <v>702</v>
      </c>
      <c r="AN42" s="13">
        <v>2.0</v>
      </c>
      <c r="AO42" s="13" t="s">
        <v>25</v>
      </c>
      <c r="AP42" s="13" t="s">
        <v>27</v>
      </c>
      <c r="AQ42" s="13" t="s">
        <v>26</v>
      </c>
      <c r="AR42" s="13" t="s">
        <v>704</v>
      </c>
      <c r="AS42" s="13">
        <v>2.0</v>
      </c>
      <c r="AT42" s="27">
        <v>46210.32126157408</v>
      </c>
      <c r="AU42" s="27">
        <v>46210.32782407408</v>
      </c>
    </row>
    <row r="43">
      <c r="A43" s="11">
        <v>84.0</v>
      </c>
      <c r="B43" s="13" t="s">
        <v>203</v>
      </c>
      <c r="C43" s="13" t="s">
        <v>206</v>
      </c>
      <c r="D43" s="13" t="s">
        <v>204</v>
      </c>
      <c r="E43" s="13" t="s">
        <v>708</v>
      </c>
      <c r="F43" s="13" t="s">
        <v>25</v>
      </c>
      <c r="G43" s="13" t="s">
        <v>26</v>
      </c>
      <c r="H43" s="13" t="s">
        <v>27</v>
      </c>
      <c r="I43" s="13" t="s">
        <v>709</v>
      </c>
      <c r="J43" s="13">
        <v>3.0</v>
      </c>
      <c r="K43" s="13" t="s">
        <v>27</v>
      </c>
      <c r="L43" s="13" t="s">
        <v>25</v>
      </c>
      <c r="M43" s="13" t="s">
        <v>26</v>
      </c>
      <c r="N43" s="13" t="s">
        <v>710</v>
      </c>
      <c r="O43" s="13">
        <v>2.0</v>
      </c>
      <c r="P43" s="13" t="s">
        <v>26</v>
      </c>
      <c r="Q43" s="13" t="s">
        <v>25</v>
      </c>
      <c r="R43" s="13" t="s">
        <v>27</v>
      </c>
      <c r="S43" s="13" t="s">
        <v>711</v>
      </c>
      <c r="T43" s="13">
        <v>3.0</v>
      </c>
      <c r="U43" s="13" t="s">
        <v>26</v>
      </c>
      <c r="V43" s="13" t="s">
        <v>25</v>
      </c>
      <c r="W43" s="13" t="s">
        <v>27</v>
      </c>
      <c r="X43" s="13" t="s">
        <v>712</v>
      </c>
      <c r="Y43" s="13">
        <v>2.0</v>
      </c>
      <c r="Z43" s="13" t="s">
        <v>26</v>
      </c>
      <c r="AA43" s="13" t="s">
        <v>27</v>
      </c>
      <c r="AB43" s="13" t="s">
        <v>25</v>
      </c>
      <c r="AC43" s="13" t="s">
        <v>713</v>
      </c>
      <c r="AD43" s="13">
        <v>3.0</v>
      </c>
      <c r="AE43" s="13" t="s">
        <v>25</v>
      </c>
      <c r="AF43" s="13" t="s">
        <v>27</v>
      </c>
      <c r="AG43" s="13" t="s">
        <v>26</v>
      </c>
      <c r="AH43" s="13" t="s">
        <v>714</v>
      </c>
      <c r="AI43" s="13">
        <v>3.0</v>
      </c>
      <c r="AJ43" s="13" t="s">
        <v>25</v>
      </c>
      <c r="AK43" s="13" t="s">
        <v>27</v>
      </c>
      <c r="AL43" s="13" t="s">
        <v>26</v>
      </c>
      <c r="AM43" s="13" t="s">
        <v>716</v>
      </c>
      <c r="AN43" s="13">
        <v>3.0</v>
      </c>
      <c r="AO43" s="13" t="s">
        <v>25</v>
      </c>
      <c r="AP43" s="13" t="s">
        <v>27</v>
      </c>
      <c r="AQ43" s="13" t="s">
        <v>26</v>
      </c>
      <c r="AR43" s="13" t="s">
        <v>717</v>
      </c>
      <c r="AS43" s="13">
        <v>4.0</v>
      </c>
      <c r="AT43" s="27">
        <v>46210.32829861111</v>
      </c>
      <c r="AU43" s="27">
        <v>46210.341261574074</v>
      </c>
    </row>
    <row r="44">
      <c r="A44" s="11">
        <v>87.0</v>
      </c>
      <c r="B44" s="13" t="s">
        <v>203</v>
      </c>
      <c r="C44" s="13" t="s">
        <v>204</v>
      </c>
      <c r="D44" s="13" t="s">
        <v>206</v>
      </c>
      <c r="E44" s="13" t="s">
        <v>718</v>
      </c>
      <c r="F44" s="13" t="s">
        <v>25</v>
      </c>
      <c r="G44" s="13" t="s">
        <v>27</v>
      </c>
      <c r="H44" s="13" t="s">
        <v>26</v>
      </c>
      <c r="I44" s="13" t="s">
        <v>720</v>
      </c>
      <c r="J44" s="13">
        <v>1.0</v>
      </c>
      <c r="K44" s="13" t="s">
        <v>27</v>
      </c>
      <c r="L44" s="13" t="s">
        <v>25</v>
      </c>
      <c r="M44" s="13" t="s">
        <v>26</v>
      </c>
      <c r="N44" s="13" t="s">
        <v>721</v>
      </c>
      <c r="O44" s="13">
        <v>1.0</v>
      </c>
      <c r="P44" s="13" t="s">
        <v>26</v>
      </c>
      <c r="Q44" s="13" t="s">
        <v>25</v>
      </c>
      <c r="R44" s="13" t="s">
        <v>27</v>
      </c>
      <c r="S44" s="13" t="s">
        <v>722</v>
      </c>
      <c r="T44" s="13">
        <v>1.0</v>
      </c>
      <c r="U44" s="13" t="s">
        <v>26</v>
      </c>
      <c r="V44" s="13" t="s">
        <v>25</v>
      </c>
      <c r="W44" s="13" t="s">
        <v>27</v>
      </c>
      <c r="X44" s="13" t="s">
        <v>724</v>
      </c>
      <c r="Y44" s="13">
        <v>1.0</v>
      </c>
      <c r="Z44" s="13" t="s">
        <v>25</v>
      </c>
      <c r="AA44" s="13" t="s">
        <v>26</v>
      </c>
      <c r="AB44" s="13" t="s">
        <v>27</v>
      </c>
      <c r="AC44" s="13" t="s">
        <v>725</v>
      </c>
      <c r="AD44" s="13">
        <v>3.0</v>
      </c>
      <c r="AE44" s="13" t="s">
        <v>27</v>
      </c>
      <c r="AF44" s="13" t="s">
        <v>25</v>
      </c>
      <c r="AG44" s="13" t="s">
        <v>26</v>
      </c>
      <c r="AH44" s="13" t="s">
        <v>729</v>
      </c>
      <c r="AI44" s="13">
        <v>2.0</v>
      </c>
      <c r="AJ44" s="13" t="s">
        <v>26</v>
      </c>
      <c r="AK44" s="13" t="s">
        <v>25</v>
      </c>
      <c r="AL44" s="13" t="s">
        <v>27</v>
      </c>
      <c r="AM44" s="13" t="s">
        <v>731</v>
      </c>
      <c r="AN44" s="13">
        <v>2.0</v>
      </c>
      <c r="AO44" s="13" t="s">
        <v>26</v>
      </c>
      <c r="AP44" s="13" t="s">
        <v>25</v>
      </c>
      <c r="AQ44" s="13" t="s">
        <v>27</v>
      </c>
      <c r="AR44" s="13" t="s">
        <v>732</v>
      </c>
      <c r="AS44" s="13">
        <v>2.0</v>
      </c>
      <c r="AT44" s="27">
        <v>46210.39288194444</v>
      </c>
      <c r="AU44" s="27">
        <v>46210.41373842592</v>
      </c>
    </row>
    <row r="45">
      <c r="A45" s="11">
        <v>88.0</v>
      </c>
      <c r="B45" s="13" t="s">
        <v>206</v>
      </c>
      <c r="C45" s="33"/>
      <c r="D45" s="33"/>
      <c r="E45" s="13" t="s">
        <v>736</v>
      </c>
      <c r="F45" s="13" t="s">
        <v>25</v>
      </c>
      <c r="G45" s="13" t="s">
        <v>26</v>
      </c>
      <c r="H45" s="13" t="s">
        <v>27</v>
      </c>
      <c r="I45" s="13" t="s">
        <v>737</v>
      </c>
      <c r="J45" s="13">
        <v>1.0</v>
      </c>
      <c r="K45" s="13" t="s">
        <v>27</v>
      </c>
      <c r="L45" s="13" t="s">
        <v>25</v>
      </c>
      <c r="M45" s="13" t="s">
        <v>26</v>
      </c>
      <c r="N45" s="13" t="s">
        <v>739</v>
      </c>
      <c r="O45" s="13">
        <v>1.0</v>
      </c>
      <c r="P45" s="13" t="s">
        <v>26</v>
      </c>
      <c r="Q45" s="13" t="s">
        <v>25</v>
      </c>
      <c r="R45" s="13" t="s">
        <v>27</v>
      </c>
      <c r="S45" s="13" t="s">
        <v>740</v>
      </c>
      <c r="T45" s="13">
        <v>1.0</v>
      </c>
      <c r="U45" s="13" t="s">
        <v>26</v>
      </c>
      <c r="V45" s="13" t="s">
        <v>25</v>
      </c>
      <c r="W45" s="13" t="s">
        <v>27</v>
      </c>
      <c r="X45" s="13" t="s">
        <v>742</v>
      </c>
      <c r="Y45" s="13">
        <v>1.0</v>
      </c>
      <c r="Z45" s="13" t="s">
        <v>27</v>
      </c>
      <c r="AA45" s="13" t="s">
        <v>26</v>
      </c>
      <c r="AB45" s="13" t="s">
        <v>25</v>
      </c>
      <c r="AC45" s="13" t="s">
        <v>744</v>
      </c>
      <c r="AD45" s="13">
        <v>2.0</v>
      </c>
      <c r="AE45" s="13" t="s">
        <v>25</v>
      </c>
      <c r="AF45" s="13" t="s">
        <v>26</v>
      </c>
      <c r="AG45" s="13" t="s">
        <v>27</v>
      </c>
      <c r="AH45" s="13" t="s">
        <v>745</v>
      </c>
      <c r="AI45" s="13">
        <v>2.0</v>
      </c>
      <c r="AJ45" s="13" t="s">
        <v>25</v>
      </c>
      <c r="AK45" s="13" t="s">
        <v>27</v>
      </c>
      <c r="AL45" s="13" t="s">
        <v>26</v>
      </c>
      <c r="AM45" s="13" t="s">
        <v>747</v>
      </c>
      <c r="AN45" s="13">
        <v>2.0</v>
      </c>
      <c r="AO45" s="13" t="s">
        <v>25</v>
      </c>
      <c r="AP45" s="13" t="s">
        <v>27</v>
      </c>
      <c r="AQ45" s="13" t="s">
        <v>26</v>
      </c>
      <c r="AR45" s="13" t="s">
        <v>748</v>
      </c>
      <c r="AS45" s="13">
        <v>2.0</v>
      </c>
      <c r="AT45" s="27">
        <v>46211.33341435185</v>
      </c>
      <c r="AU45" s="27">
        <v>46211.34570601852</v>
      </c>
    </row>
    <row r="46">
      <c r="A46" s="11">
        <v>89.0</v>
      </c>
      <c r="B46" s="13" t="s">
        <v>203</v>
      </c>
      <c r="C46" s="33"/>
      <c r="D46" s="33"/>
      <c r="E46" s="13" t="s">
        <v>751</v>
      </c>
      <c r="F46" s="13" t="s">
        <v>25</v>
      </c>
      <c r="G46" s="13" t="s">
        <v>26</v>
      </c>
      <c r="H46" s="13" t="s">
        <v>27</v>
      </c>
      <c r="I46" s="13" t="s">
        <v>752</v>
      </c>
      <c r="J46" s="13">
        <v>1.0</v>
      </c>
      <c r="K46" s="13" t="s">
        <v>27</v>
      </c>
      <c r="L46" s="13" t="s">
        <v>25</v>
      </c>
      <c r="M46" s="13" t="s">
        <v>26</v>
      </c>
      <c r="N46" s="13" t="s">
        <v>754</v>
      </c>
      <c r="O46" s="13">
        <v>1.0</v>
      </c>
      <c r="P46" s="13" t="s">
        <v>26</v>
      </c>
      <c r="Q46" s="13" t="s">
        <v>25</v>
      </c>
      <c r="R46" s="13" t="s">
        <v>27</v>
      </c>
      <c r="S46" s="13" t="s">
        <v>755</v>
      </c>
      <c r="T46" s="13">
        <v>1.0</v>
      </c>
      <c r="U46" s="13" t="s">
        <v>26</v>
      </c>
      <c r="V46" s="13" t="s">
        <v>25</v>
      </c>
      <c r="W46" s="13" t="s">
        <v>27</v>
      </c>
      <c r="X46" s="13" t="s">
        <v>756</v>
      </c>
      <c r="Y46" s="13">
        <v>1.0</v>
      </c>
      <c r="Z46" s="13" t="s">
        <v>27</v>
      </c>
      <c r="AA46" s="13" t="s">
        <v>26</v>
      </c>
      <c r="AB46" s="13" t="s">
        <v>25</v>
      </c>
      <c r="AC46" s="13" t="s">
        <v>758</v>
      </c>
      <c r="AD46" s="13">
        <v>2.0</v>
      </c>
      <c r="AE46" s="13" t="s">
        <v>26</v>
      </c>
      <c r="AF46" s="13" t="s">
        <v>25</v>
      </c>
      <c r="AG46" s="13" t="s">
        <v>27</v>
      </c>
      <c r="AH46" s="13" t="s">
        <v>759</v>
      </c>
      <c r="AI46" s="13">
        <v>2.0</v>
      </c>
      <c r="AJ46" s="13" t="s">
        <v>25</v>
      </c>
      <c r="AK46" s="13" t="s">
        <v>27</v>
      </c>
      <c r="AL46" s="13" t="s">
        <v>26</v>
      </c>
      <c r="AM46" s="13" t="s">
        <v>760</v>
      </c>
      <c r="AN46" s="13">
        <v>2.0</v>
      </c>
      <c r="AO46" s="13" t="s">
        <v>25</v>
      </c>
      <c r="AP46" s="13" t="s">
        <v>27</v>
      </c>
      <c r="AQ46" s="13" t="s">
        <v>26</v>
      </c>
      <c r="AR46" s="13" t="s">
        <v>761</v>
      </c>
      <c r="AS46" s="13">
        <v>2.0</v>
      </c>
      <c r="AT46" s="27">
        <v>46211.34842592593</v>
      </c>
      <c r="AU46" s="27">
        <v>46211.35792824074</v>
      </c>
    </row>
    <row r="47">
      <c r="A47" s="11">
        <v>91.0</v>
      </c>
      <c r="B47" s="13" t="s">
        <v>203</v>
      </c>
      <c r="C47" s="13" t="s">
        <v>204</v>
      </c>
      <c r="D47" s="13" t="s">
        <v>206</v>
      </c>
      <c r="E47" s="13" t="s">
        <v>765</v>
      </c>
      <c r="F47" s="13" t="s">
        <v>25</v>
      </c>
      <c r="G47" s="13" t="s">
        <v>26</v>
      </c>
      <c r="H47" s="13" t="s">
        <v>27</v>
      </c>
      <c r="I47" s="13" t="s">
        <v>768</v>
      </c>
      <c r="J47" s="13">
        <v>1.0</v>
      </c>
      <c r="K47" s="13" t="s">
        <v>25</v>
      </c>
      <c r="L47" s="13" t="s">
        <v>27</v>
      </c>
      <c r="M47" s="13" t="s">
        <v>26</v>
      </c>
      <c r="N47" s="13" t="s">
        <v>769</v>
      </c>
      <c r="O47" s="13">
        <v>2.0</v>
      </c>
      <c r="P47" s="13" t="s">
        <v>25</v>
      </c>
      <c r="Q47" s="13" t="s">
        <v>26</v>
      </c>
      <c r="R47" s="13" t="s">
        <v>27</v>
      </c>
      <c r="S47" s="13" t="s">
        <v>771</v>
      </c>
      <c r="T47" s="13">
        <v>1.0</v>
      </c>
      <c r="U47" s="13" t="s">
        <v>26</v>
      </c>
      <c r="V47" s="13" t="s">
        <v>25</v>
      </c>
      <c r="W47" s="13" t="s">
        <v>27</v>
      </c>
      <c r="X47" s="13" t="s">
        <v>772</v>
      </c>
      <c r="Y47" s="13">
        <v>2.0</v>
      </c>
      <c r="Z47" s="13" t="s">
        <v>26</v>
      </c>
      <c r="AA47" s="13" t="s">
        <v>27</v>
      </c>
      <c r="AB47" s="13" t="s">
        <v>25</v>
      </c>
      <c r="AC47" s="13" t="s">
        <v>762</v>
      </c>
      <c r="AD47" s="13">
        <v>3.0</v>
      </c>
      <c r="AE47" s="13" t="s">
        <v>25</v>
      </c>
      <c r="AF47" s="13" t="s">
        <v>27</v>
      </c>
      <c r="AG47" s="13" t="s">
        <v>26</v>
      </c>
      <c r="AH47" s="13" t="s">
        <v>764</v>
      </c>
      <c r="AI47" s="13">
        <v>3.0</v>
      </c>
      <c r="AJ47" s="13" t="s">
        <v>25</v>
      </c>
      <c r="AK47" s="13" t="s">
        <v>27</v>
      </c>
      <c r="AL47" s="13" t="s">
        <v>26</v>
      </c>
      <c r="AM47" s="13" t="s">
        <v>766</v>
      </c>
      <c r="AN47" s="13">
        <v>2.0</v>
      </c>
      <c r="AO47" s="13" t="s">
        <v>25</v>
      </c>
      <c r="AP47" s="13" t="s">
        <v>27</v>
      </c>
      <c r="AQ47" s="13" t="s">
        <v>26</v>
      </c>
      <c r="AR47" s="13" t="s">
        <v>767</v>
      </c>
      <c r="AS47" s="13">
        <v>3.0</v>
      </c>
      <c r="AT47" s="27">
        <v>46211.544016203705</v>
      </c>
      <c r="AU47" s="27">
        <v>46211.55315972222</v>
      </c>
    </row>
    <row r="48">
      <c r="A48" s="11">
        <v>93.0</v>
      </c>
      <c r="B48" s="13" t="s">
        <v>203</v>
      </c>
      <c r="C48" s="13" t="s">
        <v>204</v>
      </c>
      <c r="D48" s="13" t="s">
        <v>206</v>
      </c>
      <c r="E48" s="13" t="s">
        <v>777</v>
      </c>
      <c r="F48" s="13" t="s">
        <v>25</v>
      </c>
      <c r="G48" s="13" t="s">
        <v>26</v>
      </c>
      <c r="H48" s="13" t="s">
        <v>27</v>
      </c>
      <c r="I48" s="33"/>
      <c r="J48" s="13">
        <v>3.0</v>
      </c>
      <c r="K48" s="13" t="s">
        <v>27</v>
      </c>
      <c r="L48" s="13" t="s">
        <v>25</v>
      </c>
      <c r="M48" s="13" t="s">
        <v>26</v>
      </c>
      <c r="N48" s="13" t="s">
        <v>781</v>
      </c>
      <c r="O48" s="13">
        <v>2.0</v>
      </c>
      <c r="P48" s="13" t="s">
        <v>26</v>
      </c>
      <c r="Q48" s="13" t="s">
        <v>25</v>
      </c>
      <c r="R48" s="13" t="s">
        <v>27</v>
      </c>
      <c r="S48" s="13" t="s">
        <v>783</v>
      </c>
      <c r="T48" s="13">
        <v>2.0</v>
      </c>
      <c r="U48" s="13" t="s">
        <v>26</v>
      </c>
      <c r="V48" s="13" t="s">
        <v>25</v>
      </c>
      <c r="W48" s="13" t="s">
        <v>27</v>
      </c>
      <c r="X48" s="13" t="s">
        <v>787</v>
      </c>
      <c r="Y48" s="13">
        <v>2.0</v>
      </c>
      <c r="Z48" s="13" t="s">
        <v>26</v>
      </c>
      <c r="AA48" s="13" t="s">
        <v>27</v>
      </c>
      <c r="AB48" s="13" t="s">
        <v>25</v>
      </c>
      <c r="AC48" s="33"/>
      <c r="AD48" s="13">
        <v>3.0</v>
      </c>
      <c r="AE48" s="13" t="s">
        <v>27</v>
      </c>
      <c r="AF48" s="13" t="s">
        <v>25</v>
      </c>
      <c r="AG48" s="13" t="s">
        <v>26</v>
      </c>
      <c r="AH48" s="33"/>
      <c r="AI48" s="13">
        <v>3.0</v>
      </c>
      <c r="AJ48" s="13" t="s">
        <v>25</v>
      </c>
      <c r="AK48" s="13" t="s">
        <v>26</v>
      </c>
      <c r="AL48" s="13" t="s">
        <v>27</v>
      </c>
      <c r="AM48" s="33"/>
      <c r="AN48" s="13">
        <v>3.0</v>
      </c>
      <c r="AO48" s="13" t="s">
        <v>25</v>
      </c>
      <c r="AP48" s="13" t="s">
        <v>27</v>
      </c>
      <c r="AQ48" s="13" t="s">
        <v>26</v>
      </c>
      <c r="AR48" s="33"/>
      <c r="AS48" s="13">
        <v>3.0</v>
      </c>
      <c r="AT48" s="27">
        <v>46211.805393518516</v>
      </c>
      <c r="AU48" s="27">
        <v>46211.8215625</v>
      </c>
    </row>
    <row r="49">
      <c r="A49" s="11">
        <v>95.0</v>
      </c>
      <c r="B49" s="13" t="s">
        <v>203</v>
      </c>
      <c r="C49" s="13" t="s">
        <v>206</v>
      </c>
      <c r="D49" s="13" t="s">
        <v>204</v>
      </c>
      <c r="E49" s="13" t="s">
        <v>795</v>
      </c>
      <c r="F49" s="13" t="s">
        <v>25</v>
      </c>
      <c r="G49" s="13" t="s">
        <v>27</v>
      </c>
      <c r="H49" s="13" t="s">
        <v>26</v>
      </c>
      <c r="I49" s="13" t="s">
        <v>797</v>
      </c>
      <c r="J49" s="13">
        <v>1.0</v>
      </c>
      <c r="K49" s="13" t="s">
        <v>27</v>
      </c>
      <c r="L49" s="13" t="s">
        <v>26</v>
      </c>
      <c r="M49" s="13" t="s">
        <v>25</v>
      </c>
      <c r="N49" s="13" t="s">
        <v>799</v>
      </c>
      <c r="O49" s="13">
        <v>1.0</v>
      </c>
      <c r="P49" s="13" t="s">
        <v>26</v>
      </c>
      <c r="Q49" s="13" t="s">
        <v>25</v>
      </c>
      <c r="R49" s="13" t="s">
        <v>27</v>
      </c>
      <c r="S49" s="13" t="s">
        <v>803</v>
      </c>
      <c r="T49" s="13">
        <v>1.0</v>
      </c>
      <c r="U49" s="13" t="s">
        <v>26</v>
      </c>
      <c r="V49" s="13" t="s">
        <v>25</v>
      </c>
      <c r="W49" s="13" t="s">
        <v>27</v>
      </c>
      <c r="X49" s="13" t="s">
        <v>804</v>
      </c>
      <c r="Y49" s="13">
        <v>1.0</v>
      </c>
      <c r="Z49" s="13" t="s">
        <v>27</v>
      </c>
      <c r="AA49" s="13" t="s">
        <v>25</v>
      </c>
      <c r="AB49" s="13" t="s">
        <v>26</v>
      </c>
      <c r="AC49" s="13" t="s">
        <v>774</v>
      </c>
      <c r="AD49" s="13">
        <v>3.0</v>
      </c>
      <c r="AE49" s="13" t="s">
        <v>27</v>
      </c>
      <c r="AF49" s="13" t="s">
        <v>25</v>
      </c>
      <c r="AG49" s="13" t="s">
        <v>26</v>
      </c>
      <c r="AH49" s="13" t="s">
        <v>776</v>
      </c>
      <c r="AI49" s="13">
        <v>2.0</v>
      </c>
      <c r="AJ49" s="13" t="s">
        <v>25</v>
      </c>
      <c r="AK49" s="13" t="s">
        <v>27</v>
      </c>
      <c r="AL49" s="13" t="s">
        <v>26</v>
      </c>
      <c r="AM49" s="13" t="s">
        <v>778</v>
      </c>
      <c r="AN49" s="13">
        <v>2.0</v>
      </c>
      <c r="AO49" s="13" t="s">
        <v>25</v>
      </c>
      <c r="AP49" s="13" t="s">
        <v>26</v>
      </c>
      <c r="AQ49" s="13" t="s">
        <v>27</v>
      </c>
      <c r="AR49" s="13" t="s">
        <v>780</v>
      </c>
      <c r="AS49" s="13">
        <v>2.0</v>
      </c>
      <c r="AT49" s="27">
        <v>46212.53203703704</v>
      </c>
      <c r="AU49" s="27">
        <v>46212.539872685185</v>
      </c>
    </row>
    <row r="50">
      <c r="A50" s="11">
        <v>97.0</v>
      </c>
      <c r="B50" s="13" t="s">
        <v>203</v>
      </c>
      <c r="C50" s="13" t="s">
        <v>204</v>
      </c>
      <c r="D50" s="13" t="s">
        <v>206</v>
      </c>
      <c r="E50" s="13" t="s">
        <v>811</v>
      </c>
      <c r="F50" s="13" t="s">
        <v>25</v>
      </c>
      <c r="G50" s="13" t="s">
        <v>26</v>
      </c>
      <c r="H50" s="13" t="s">
        <v>27</v>
      </c>
      <c r="I50" s="13" t="s">
        <v>813</v>
      </c>
      <c r="J50" s="13">
        <v>1.0</v>
      </c>
      <c r="K50" s="13" t="s">
        <v>27</v>
      </c>
      <c r="L50" s="13" t="s">
        <v>25</v>
      </c>
      <c r="M50" s="13" t="s">
        <v>26</v>
      </c>
      <c r="N50" s="13" t="s">
        <v>816</v>
      </c>
      <c r="O50" s="13">
        <v>2.0</v>
      </c>
      <c r="P50" s="13" t="s">
        <v>26</v>
      </c>
      <c r="Q50" s="13" t="s">
        <v>25</v>
      </c>
      <c r="R50" s="13" t="s">
        <v>27</v>
      </c>
      <c r="S50" s="13" t="s">
        <v>817</v>
      </c>
      <c r="T50" s="13">
        <v>1.0</v>
      </c>
      <c r="U50" s="13" t="s">
        <v>26</v>
      </c>
      <c r="V50" s="13" t="s">
        <v>25</v>
      </c>
      <c r="W50" s="13" t="s">
        <v>27</v>
      </c>
      <c r="X50" s="13" t="s">
        <v>820</v>
      </c>
      <c r="Y50" s="13">
        <v>2.0</v>
      </c>
      <c r="Z50" s="13" t="s">
        <v>26</v>
      </c>
      <c r="AA50" s="13" t="s">
        <v>25</v>
      </c>
      <c r="AB50" s="13" t="s">
        <v>27</v>
      </c>
      <c r="AC50" s="13" t="s">
        <v>785</v>
      </c>
      <c r="AD50" s="13">
        <v>2.0</v>
      </c>
      <c r="AE50" s="13" t="s">
        <v>26</v>
      </c>
      <c r="AF50" s="13" t="s">
        <v>25</v>
      </c>
      <c r="AG50" s="13" t="s">
        <v>27</v>
      </c>
      <c r="AH50" s="13" t="s">
        <v>786</v>
      </c>
      <c r="AI50" s="13">
        <v>2.0</v>
      </c>
      <c r="AJ50" s="13" t="s">
        <v>26</v>
      </c>
      <c r="AK50" s="13" t="s">
        <v>25</v>
      </c>
      <c r="AL50" s="13" t="s">
        <v>27</v>
      </c>
      <c r="AM50" s="13" t="s">
        <v>788</v>
      </c>
      <c r="AN50" s="13">
        <v>3.0</v>
      </c>
      <c r="AO50" s="13" t="s">
        <v>25</v>
      </c>
      <c r="AP50" s="13" t="s">
        <v>27</v>
      </c>
      <c r="AQ50" s="13" t="s">
        <v>26</v>
      </c>
      <c r="AR50" s="13" t="s">
        <v>789</v>
      </c>
      <c r="AS50" s="13">
        <v>2.0</v>
      </c>
      <c r="AT50" s="27">
        <v>46212.58446759259</v>
      </c>
      <c r="AU50" s="27">
        <v>46212.595821759256</v>
      </c>
    </row>
    <row r="51">
      <c r="A51" s="11">
        <v>99.0</v>
      </c>
      <c r="B51" s="13" t="s">
        <v>203</v>
      </c>
      <c r="C51" s="13" t="s">
        <v>204</v>
      </c>
      <c r="D51" s="13" t="s">
        <v>206</v>
      </c>
      <c r="E51" s="13" t="s">
        <v>832</v>
      </c>
      <c r="F51" s="13" t="s">
        <v>25</v>
      </c>
      <c r="G51" s="13" t="s">
        <v>27</v>
      </c>
      <c r="H51" s="13" t="s">
        <v>26</v>
      </c>
      <c r="I51" s="13" t="s">
        <v>834</v>
      </c>
      <c r="J51" s="13">
        <v>4.0</v>
      </c>
      <c r="K51" s="13" t="s">
        <v>27</v>
      </c>
      <c r="L51" s="13" t="s">
        <v>25</v>
      </c>
      <c r="M51" s="13" t="s">
        <v>26</v>
      </c>
      <c r="N51" s="13" t="s">
        <v>837</v>
      </c>
      <c r="O51" s="13">
        <v>3.0</v>
      </c>
      <c r="P51" s="13" t="s">
        <v>26</v>
      </c>
      <c r="Q51" s="13" t="s">
        <v>25</v>
      </c>
      <c r="R51" s="13" t="s">
        <v>27</v>
      </c>
      <c r="S51" s="13" t="s">
        <v>841</v>
      </c>
      <c r="T51" s="13">
        <v>3.0</v>
      </c>
      <c r="U51" s="13" t="s">
        <v>26</v>
      </c>
      <c r="V51" s="13" t="s">
        <v>25</v>
      </c>
      <c r="W51" s="13" t="s">
        <v>27</v>
      </c>
      <c r="X51" s="13" t="s">
        <v>842</v>
      </c>
      <c r="Y51" s="13">
        <v>3.0</v>
      </c>
      <c r="Z51" s="13" t="s">
        <v>27</v>
      </c>
      <c r="AA51" s="13" t="s">
        <v>25</v>
      </c>
      <c r="AB51" s="13" t="s">
        <v>26</v>
      </c>
      <c r="AC51" s="13" t="s">
        <v>790</v>
      </c>
      <c r="AD51" s="13">
        <v>3.0</v>
      </c>
      <c r="AE51" s="13" t="s">
        <v>26</v>
      </c>
      <c r="AF51" s="13" t="s">
        <v>25</v>
      </c>
      <c r="AG51" s="13" t="s">
        <v>27</v>
      </c>
      <c r="AH51" s="13" t="s">
        <v>791</v>
      </c>
      <c r="AI51" s="13">
        <v>3.0</v>
      </c>
      <c r="AJ51" s="13" t="s">
        <v>25</v>
      </c>
      <c r="AK51" s="13" t="s">
        <v>27</v>
      </c>
      <c r="AL51" s="13" t="s">
        <v>26</v>
      </c>
      <c r="AM51" s="13" t="s">
        <v>792</v>
      </c>
      <c r="AN51" s="13">
        <v>3.0</v>
      </c>
      <c r="AO51" s="13" t="s">
        <v>25</v>
      </c>
      <c r="AP51" s="13" t="s">
        <v>27</v>
      </c>
      <c r="AQ51" s="13" t="s">
        <v>26</v>
      </c>
      <c r="AR51" s="13" t="s">
        <v>794</v>
      </c>
      <c r="AS51" s="13">
        <v>4.0</v>
      </c>
      <c r="AT51" s="27">
        <v>46213.81348379629</v>
      </c>
      <c r="AU51" s="27">
        <v>46213.8346875</v>
      </c>
    </row>
    <row r="52">
      <c r="A52" s="11">
        <v>100.0</v>
      </c>
      <c r="B52" s="13" t="s">
        <v>203</v>
      </c>
      <c r="C52" s="13" t="s">
        <v>204</v>
      </c>
      <c r="D52" s="13" t="s">
        <v>206</v>
      </c>
      <c r="E52" s="13" t="s">
        <v>849</v>
      </c>
      <c r="F52" s="13" t="s">
        <v>25</v>
      </c>
      <c r="G52" s="13" t="s">
        <v>26</v>
      </c>
      <c r="H52" s="13" t="s">
        <v>27</v>
      </c>
      <c r="I52" s="13" t="s">
        <v>850</v>
      </c>
      <c r="J52" s="13">
        <v>1.0</v>
      </c>
      <c r="K52" s="13" t="s">
        <v>26</v>
      </c>
      <c r="L52" s="13" t="s">
        <v>27</v>
      </c>
      <c r="M52" s="13" t="s">
        <v>25</v>
      </c>
      <c r="N52" s="13" t="s">
        <v>849</v>
      </c>
      <c r="O52" s="13">
        <v>1.0</v>
      </c>
      <c r="P52" s="13" t="s">
        <v>26</v>
      </c>
      <c r="Q52" s="13" t="s">
        <v>25</v>
      </c>
      <c r="R52" s="13" t="s">
        <v>27</v>
      </c>
      <c r="S52" s="13" t="s">
        <v>849</v>
      </c>
      <c r="T52" s="13">
        <v>1.0</v>
      </c>
      <c r="U52" s="13" t="s">
        <v>26</v>
      </c>
      <c r="V52" s="13" t="s">
        <v>25</v>
      </c>
      <c r="W52" s="13" t="s">
        <v>27</v>
      </c>
      <c r="X52" s="13" t="s">
        <v>849</v>
      </c>
      <c r="Y52" s="13">
        <v>1.0</v>
      </c>
      <c r="Z52" s="13" t="s">
        <v>26</v>
      </c>
      <c r="AA52" s="13" t="s">
        <v>27</v>
      </c>
      <c r="AB52" s="13" t="s">
        <v>25</v>
      </c>
      <c r="AC52" s="13" t="s">
        <v>796</v>
      </c>
      <c r="AD52" s="13">
        <v>3.0</v>
      </c>
      <c r="AE52" s="13" t="s">
        <v>25</v>
      </c>
      <c r="AF52" s="13" t="s">
        <v>26</v>
      </c>
      <c r="AG52" s="13" t="s">
        <v>27</v>
      </c>
      <c r="AH52" s="13" t="s">
        <v>798</v>
      </c>
      <c r="AI52" s="13">
        <v>3.0</v>
      </c>
      <c r="AJ52" s="13" t="s">
        <v>25</v>
      </c>
      <c r="AK52" s="13" t="s">
        <v>27</v>
      </c>
      <c r="AL52" s="13" t="s">
        <v>26</v>
      </c>
      <c r="AM52" s="13" t="s">
        <v>798</v>
      </c>
      <c r="AN52" s="13">
        <v>2.0</v>
      </c>
      <c r="AO52" s="13" t="s">
        <v>25</v>
      </c>
      <c r="AP52" s="13" t="s">
        <v>26</v>
      </c>
      <c r="AQ52" s="13" t="s">
        <v>27</v>
      </c>
      <c r="AR52" s="13" t="s">
        <v>801</v>
      </c>
      <c r="AS52" s="13">
        <v>3.0</v>
      </c>
      <c r="AT52" s="27">
        <v>46213.877916666665</v>
      </c>
      <c r="AU52" s="27">
        <v>46213.88584490741</v>
      </c>
    </row>
    <row r="53">
      <c r="A53" s="11">
        <v>101.0</v>
      </c>
      <c r="B53" s="13" t="s">
        <v>203</v>
      </c>
      <c r="C53" s="13" t="s">
        <v>204</v>
      </c>
      <c r="D53" s="13" t="s">
        <v>206</v>
      </c>
      <c r="E53" s="13" t="s">
        <v>851</v>
      </c>
      <c r="F53" s="13" t="s">
        <v>25</v>
      </c>
      <c r="G53" s="13" t="s">
        <v>26</v>
      </c>
      <c r="H53" s="13" t="s">
        <v>27</v>
      </c>
      <c r="I53" s="13" t="s">
        <v>852</v>
      </c>
      <c r="J53" s="13">
        <v>3.0</v>
      </c>
      <c r="K53" s="13" t="s">
        <v>25</v>
      </c>
      <c r="L53" s="13" t="s">
        <v>27</v>
      </c>
      <c r="M53" s="13" t="s">
        <v>26</v>
      </c>
      <c r="N53" s="13" t="s">
        <v>853</v>
      </c>
      <c r="O53" s="13">
        <v>3.0</v>
      </c>
      <c r="P53" s="13" t="s">
        <v>26</v>
      </c>
      <c r="Q53" s="13" t="s">
        <v>25</v>
      </c>
      <c r="R53" s="13" t="s">
        <v>27</v>
      </c>
      <c r="S53" s="13" t="s">
        <v>854</v>
      </c>
      <c r="T53" s="13">
        <v>4.0</v>
      </c>
      <c r="U53" s="13" t="s">
        <v>25</v>
      </c>
      <c r="V53" s="13" t="s">
        <v>27</v>
      </c>
      <c r="W53" s="13" t="s">
        <v>26</v>
      </c>
      <c r="X53" s="13" t="s">
        <v>855</v>
      </c>
      <c r="Y53" s="13">
        <v>3.0</v>
      </c>
      <c r="Z53" s="13" t="s">
        <v>26</v>
      </c>
      <c r="AA53" s="13" t="s">
        <v>27</v>
      </c>
      <c r="AB53" s="13" t="s">
        <v>25</v>
      </c>
      <c r="AC53" s="13" t="s">
        <v>805</v>
      </c>
      <c r="AD53" s="13">
        <v>5.0</v>
      </c>
      <c r="AE53" s="13" t="s">
        <v>27</v>
      </c>
      <c r="AF53" s="13" t="s">
        <v>25</v>
      </c>
      <c r="AG53" s="13" t="s">
        <v>26</v>
      </c>
      <c r="AH53" s="13" t="s">
        <v>805</v>
      </c>
      <c r="AI53" s="13">
        <v>5.0</v>
      </c>
      <c r="AJ53" s="13" t="s">
        <v>25</v>
      </c>
      <c r="AK53" s="13" t="s">
        <v>26</v>
      </c>
      <c r="AL53" s="13" t="s">
        <v>27</v>
      </c>
      <c r="AM53" s="13" t="s">
        <v>806</v>
      </c>
      <c r="AN53" s="13">
        <v>4.0</v>
      </c>
      <c r="AO53" s="13" t="s">
        <v>25</v>
      </c>
      <c r="AP53" s="13" t="s">
        <v>27</v>
      </c>
      <c r="AQ53" s="13" t="s">
        <v>26</v>
      </c>
      <c r="AR53" s="13" t="s">
        <v>807</v>
      </c>
      <c r="AS53" s="13">
        <v>4.0</v>
      </c>
      <c r="AT53" s="27">
        <v>46214.3509375</v>
      </c>
      <c r="AU53" s="27">
        <v>46214.36446759259</v>
      </c>
    </row>
    <row r="54">
      <c r="A54" s="11">
        <v>104.0</v>
      </c>
      <c r="B54" s="13" t="s">
        <v>203</v>
      </c>
      <c r="C54" s="13" t="s">
        <v>204</v>
      </c>
      <c r="D54" s="13" t="s">
        <v>206</v>
      </c>
      <c r="E54" s="13" t="s">
        <v>856</v>
      </c>
      <c r="F54" s="13" t="s">
        <v>25</v>
      </c>
      <c r="G54" s="13" t="s">
        <v>26</v>
      </c>
      <c r="H54" s="13" t="s">
        <v>27</v>
      </c>
      <c r="I54" s="13" t="s">
        <v>856</v>
      </c>
      <c r="J54" s="13">
        <v>1.0</v>
      </c>
      <c r="K54" s="13" t="s">
        <v>26</v>
      </c>
      <c r="L54" s="13" t="s">
        <v>25</v>
      </c>
      <c r="M54" s="13" t="s">
        <v>27</v>
      </c>
      <c r="N54" s="13" t="s">
        <v>856</v>
      </c>
      <c r="O54" s="13">
        <v>1.0</v>
      </c>
      <c r="P54" s="13" t="s">
        <v>26</v>
      </c>
      <c r="Q54" s="13" t="s">
        <v>25</v>
      </c>
      <c r="R54" s="13" t="s">
        <v>27</v>
      </c>
      <c r="S54" s="13" t="s">
        <v>857</v>
      </c>
      <c r="T54" s="13">
        <v>1.0</v>
      </c>
      <c r="U54" s="13" t="s">
        <v>26</v>
      </c>
      <c r="V54" s="13" t="s">
        <v>25</v>
      </c>
      <c r="W54" s="13" t="s">
        <v>27</v>
      </c>
      <c r="X54" s="13" t="s">
        <v>856</v>
      </c>
      <c r="Y54" s="13">
        <v>1.0</v>
      </c>
      <c r="Z54" s="13" t="s">
        <v>26</v>
      </c>
      <c r="AA54" s="13" t="s">
        <v>27</v>
      </c>
      <c r="AB54" s="13" t="s">
        <v>25</v>
      </c>
      <c r="AC54" s="13" t="s">
        <v>808</v>
      </c>
      <c r="AD54" s="13">
        <v>1.0</v>
      </c>
      <c r="AE54" s="13" t="s">
        <v>25</v>
      </c>
      <c r="AF54" s="13" t="s">
        <v>26</v>
      </c>
      <c r="AG54" s="13" t="s">
        <v>27</v>
      </c>
      <c r="AH54" s="13" t="s">
        <v>809</v>
      </c>
      <c r="AI54" s="13">
        <v>3.0</v>
      </c>
      <c r="AJ54" s="13" t="s">
        <v>25</v>
      </c>
      <c r="AK54" s="13" t="s">
        <v>27</v>
      </c>
      <c r="AL54" s="13" t="s">
        <v>26</v>
      </c>
      <c r="AM54" s="13" t="s">
        <v>808</v>
      </c>
      <c r="AN54" s="13">
        <v>2.0</v>
      </c>
      <c r="AO54" s="13" t="s">
        <v>25</v>
      </c>
      <c r="AP54" s="13" t="s">
        <v>26</v>
      </c>
      <c r="AQ54" s="13" t="s">
        <v>27</v>
      </c>
      <c r="AR54" s="13" t="s">
        <v>808</v>
      </c>
      <c r="AS54" s="13">
        <v>1.0</v>
      </c>
      <c r="AT54" s="27">
        <v>46216.3325</v>
      </c>
      <c r="AU54" s="27">
        <v>46216.33893518519</v>
      </c>
    </row>
    <row r="55">
      <c r="A55" s="11">
        <v>106.0</v>
      </c>
      <c r="B55" s="13" t="s">
        <v>204</v>
      </c>
      <c r="C55" s="13" t="s">
        <v>203</v>
      </c>
      <c r="D55" s="13" t="s">
        <v>206</v>
      </c>
      <c r="E55" s="13" t="s">
        <v>858</v>
      </c>
      <c r="F55" s="13" t="s">
        <v>25</v>
      </c>
      <c r="G55" s="13" t="s">
        <v>26</v>
      </c>
      <c r="H55" s="13" t="s">
        <v>27</v>
      </c>
      <c r="I55" s="13" t="s">
        <v>859</v>
      </c>
      <c r="J55" s="13">
        <v>1.0</v>
      </c>
      <c r="K55" s="13" t="s">
        <v>27</v>
      </c>
      <c r="L55" s="13" t="s">
        <v>25</v>
      </c>
      <c r="M55" s="13" t="s">
        <v>26</v>
      </c>
      <c r="N55" s="13" t="s">
        <v>860</v>
      </c>
      <c r="O55" s="13">
        <v>1.0</v>
      </c>
      <c r="P55" s="13" t="s">
        <v>26</v>
      </c>
      <c r="Q55" s="13" t="s">
        <v>25</v>
      </c>
      <c r="R55" s="13" t="s">
        <v>27</v>
      </c>
      <c r="S55" s="13" t="s">
        <v>861</v>
      </c>
      <c r="T55" s="13">
        <v>1.0</v>
      </c>
      <c r="U55" s="13" t="s">
        <v>26</v>
      </c>
      <c r="V55" s="13" t="s">
        <v>27</v>
      </c>
      <c r="W55" s="13" t="s">
        <v>25</v>
      </c>
      <c r="X55" s="13" t="s">
        <v>862</v>
      </c>
      <c r="Y55" s="13">
        <v>1.0</v>
      </c>
      <c r="Z55" s="13" t="s">
        <v>26</v>
      </c>
      <c r="AA55" s="13" t="s">
        <v>27</v>
      </c>
      <c r="AB55" s="13" t="s">
        <v>25</v>
      </c>
      <c r="AC55" s="13" t="s">
        <v>810</v>
      </c>
      <c r="AD55" s="13">
        <v>1.0</v>
      </c>
      <c r="AE55" s="13" t="s">
        <v>27</v>
      </c>
      <c r="AF55" s="13" t="s">
        <v>25</v>
      </c>
      <c r="AG55" s="13" t="s">
        <v>26</v>
      </c>
      <c r="AH55" s="13" t="s">
        <v>812</v>
      </c>
      <c r="AI55" s="13">
        <v>2.0</v>
      </c>
      <c r="AJ55" s="13" t="s">
        <v>25</v>
      </c>
      <c r="AK55" s="13" t="s">
        <v>26</v>
      </c>
      <c r="AL55" s="13" t="s">
        <v>27</v>
      </c>
      <c r="AM55" s="13" t="s">
        <v>814</v>
      </c>
      <c r="AN55" s="13">
        <v>2.0</v>
      </c>
      <c r="AO55" s="13" t="s">
        <v>25</v>
      </c>
      <c r="AP55" s="13" t="s">
        <v>27</v>
      </c>
      <c r="AQ55" s="13" t="s">
        <v>26</v>
      </c>
      <c r="AR55" s="13" t="s">
        <v>815</v>
      </c>
      <c r="AS55" s="13">
        <v>2.0</v>
      </c>
      <c r="AT55" s="27">
        <v>46216.347546296296</v>
      </c>
      <c r="AU55" s="27">
        <v>46216.35858796296</v>
      </c>
    </row>
    <row r="56">
      <c r="A56" s="11">
        <v>108.0</v>
      </c>
      <c r="B56" s="13" t="s">
        <v>206</v>
      </c>
      <c r="C56" s="13" t="s">
        <v>203</v>
      </c>
      <c r="D56" s="13" t="s">
        <v>204</v>
      </c>
      <c r="E56" s="13" t="s">
        <v>873</v>
      </c>
      <c r="F56" s="13" t="s">
        <v>27</v>
      </c>
      <c r="G56" s="13" t="s">
        <v>26</v>
      </c>
      <c r="H56" s="13" t="s">
        <v>25</v>
      </c>
      <c r="I56" s="13" t="s">
        <v>874</v>
      </c>
      <c r="J56" s="13">
        <v>3.0</v>
      </c>
      <c r="K56" s="13" t="s">
        <v>25</v>
      </c>
      <c r="L56" s="13" t="s">
        <v>26</v>
      </c>
      <c r="M56" s="13" t="s">
        <v>27</v>
      </c>
      <c r="N56" s="13" t="s">
        <v>879</v>
      </c>
      <c r="O56" s="13">
        <v>3.0</v>
      </c>
      <c r="P56" s="13" t="s">
        <v>25</v>
      </c>
      <c r="Q56" s="13" t="s">
        <v>26</v>
      </c>
      <c r="R56" s="13" t="s">
        <v>27</v>
      </c>
      <c r="S56" s="13" t="s">
        <v>885</v>
      </c>
      <c r="T56" s="13">
        <v>2.0</v>
      </c>
      <c r="U56" s="13" t="s">
        <v>27</v>
      </c>
      <c r="V56" s="13" t="s">
        <v>25</v>
      </c>
      <c r="W56" s="13" t="s">
        <v>26</v>
      </c>
      <c r="X56" s="13" t="s">
        <v>886</v>
      </c>
      <c r="Y56" s="13">
        <v>2.0</v>
      </c>
      <c r="Z56" s="13" t="s">
        <v>27</v>
      </c>
      <c r="AA56" s="13" t="s">
        <v>25</v>
      </c>
      <c r="AB56" s="13" t="s">
        <v>26</v>
      </c>
      <c r="AC56" s="13" t="s">
        <v>818</v>
      </c>
      <c r="AD56" s="13">
        <v>2.0</v>
      </c>
      <c r="AE56" s="13" t="s">
        <v>26</v>
      </c>
      <c r="AF56" s="13" t="s">
        <v>27</v>
      </c>
      <c r="AG56" s="13" t="s">
        <v>25</v>
      </c>
      <c r="AH56" s="13" t="s">
        <v>819</v>
      </c>
      <c r="AI56" s="13">
        <v>2.0</v>
      </c>
      <c r="AJ56" s="13" t="s">
        <v>25</v>
      </c>
      <c r="AK56" s="13" t="s">
        <v>27</v>
      </c>
      <c r="AL56" s="13" t="s">
        <v>26</v>
      </c>
      <c r="AM56" s="13" t="s">
        <v>821</v>
      </c>
      <c r="AN56" s="13">
        <v>3.0</v>
      </c>
      <c r="AO56" s="13" t="s">
        <v>27</v>
      </c>
      <c r="AP56" s="13" t="s">
        <v>26</v>
      </c>
      <c r="AQ56" s="13" t="s">
        <v>25</v>
      </c>
      <c r="AR56" s="13" t="s">
        <v>822</v>
      </c>
      <c r="AS56" s="13">
        <v>3.0</v>
      </c>
      <c r="AT56" s="27">
        <v>46216.38489583333</v>
      </c>
      <c r="AU56" s="27">
        <v>46216.40304398148</v>
      </c>
    </row>
    <row r="57">
      <c r="A57" s="11">
        <v>109.0</v>
      </c>
      <c r="B57" s="13" t="s">
        <v>203</v>
      </c>
      <c r="C57" s="13" t="s">
        <v>204</v>
      </c>
      <c r="D57" s="13" t="s">
        <v>206</v>
      </c>
      <c r="E57" s="13" t="s">
        <v>887</v>
      </c>
      <c r="F57" s="13" t="s">
        <v>25</v>
      </c>
      <c r="G57" s="13" t="s">
        <v>27</v>
      </c>
      <c r="H57" s="13" t="s">
        <v>26</v>
      </c>
      <c r="I57" s="13" t="s">
        <v>888</v>
      </c>
      <c r="J57" s="13">
        <v>2.0</v>
      </c>
      <c r="K57" s="13" t="s">
        <v>25</v>
      </c>
      <c r="L57" s="13" t="s">
        <v>26</v>
      </c>
      <c r="M57" s="13" t="s">
        <v>27</v>
      </c>
      <c r="N57" s="13" t="s">
        <v>890</v>
      </c>
      <c r="O57" s="13">
        <v>3.0</v>
      </c>
      <c r="P57" s="13" t="s">
        <v>26</v>
      </c>
      <c r="Q57" s="13" t="s">
        <v>25</v>
      </c>
      <c r="R57" s="13" t="s">
        <v>27</v>
      </c>
      <c r="S57" s="13" t="s">
        <v>892</v>
      </c>
      <c r="T57" s="13">
        <v>1.0</v>
      </c>
      <c r="U57" s="13" t="s">
        <v>26</v>
      </c>
      <c r="V57" s="13" t="s">
        <v>25</v>
      </c>
      <c r="W57" s="13" t="s">
        <v>27</v>
      </c>
      <c r="X57" s="13" t="s">
        <v>893</v>
      </c>
      <c r="Y57" s="13">
        <v>1.0</v>
      </c>
      <c r="Z57" s="13" t="s">
        <v>27</v>
      </c>
      <c r="AA57" s="13" t="s">
        <v>26</v>
      </c>
      <c r="AB57" s="13" t="s">
        <v>25</v>
      </c>
      <c r="AC57" s="13" t="s">
        <v>824</v>
      </c>
      <c r="AD57" s="13">
        <v>1.0</v>
      </c>
      <c r="AE57" s="13" t="s">
        <v>25</v>
      </c>
      <c r="AF57" s="13" t="s">
        <v>26</v>
      </c>
      <c r="AG57" s="13" t="s">
        <v>27</v>
      </c>
      <c r="AH57" s="13" t="s">
        <v>825</v>
      </c>
      <c r="AI57" s="13">
        <v>2.0</v>
      </c>
      <c r="AJ57" s="13" t="s">
        <v>25</v>
      </c>
      <c r="AK57" s="13" t="s">
        <v>27</v>
      </c>
      <c r="AL57" s="13" t="s">
        <v>26</v>
      </c>
      <c r="AM57" s="13" t="s">
        <v>826</v>
      </c>
      <c r="AN57" s="13">
        <v>1.0</v>
      </c>
      <c r="AO57" s="13" t="s">
        <v>27</v>
      </c>
      <c r="AP57" s="13" t="s">
        <v>25</v>
      </c>
      <c r="AQ57" s="13" t="s">
        <v>26</v>
      </c>
      <c r="AR57" s="13" t="s">
        <v>827</v>
      </c>
      <c r="AS57" s="13">
        <v>1.0</v>
      </c>
      <c r="AT57" s="27">
        <v>46216.388078703705</v>
      </c>
      <c r="AU57" s="27">
        <v>46216.400347222225</v>
      </c>
    </row>
    <row r="58">
      <c r="A58" s="11">
        <v>111.0</v>
      </c>
      <c r="B58" s="13" t="s">
        <v>203</v>
      </c>
      <c r="C58" s="13" t="s">
        <v>204</v>
      </c>
      <c r="D58" s="13" t="s">
        <v>206</v>
      </c>
      <c r="E58" s="13" t="s">
        <v>894</v>
      </c>
      <c r="F58" s="13" t="s">
        <v>25</v>
      </c>
      <c r="G58" s="13" t="s">
        <v>27</v>
      </c>
      <c r="H58" s="13" t="s">
        <v>26</v>
      </c>
      <c r="I58" s="13" t="s">
        <v>895</v>
      </c>
      <c r="J58" s="13">
        <v>1.0</v>
      </c>
      <c r="K58" s="13" t="s">
        <v>27</v>
      </c>
      <c r="L58" s="13" t="s">
        <v>25</v>
      </c>
      <c r="M58" s="13" t="s">
        <v>26</v>
      </c>
      <c r="N58" s="13" t="s">
        <v>896</v>
      </c>
      <c r="O58" s="13">
        <v>1.0</v>
      </c>
      <c r="P58" s="13" t="s">
        <v>26</v>
      </c>
      <c r="Q58" s="13" t="s">
        <v>25</v>
      </c>
      <c r="R58" s="13" t="s">
        <v>27</v>
      </c>
      <c r="S58" s="13" t="s">
        <v>897</v>
      </c>
      <c r="T58" s="13">
        <v>1.0</v>
      </c>
      <c r="U58" s="13" t="s">
        <v>26</v>
      </c>
      <c r="V58" s="13" t="s">
        <v>25</v>
      </c>
      <c r="W58" s="13" t="s">
        <v>27</v>
      </c>
      <c r="X58" s="13" t="s">
        <v>895</v>
      </c>
      <c r="Y58" s="13">
        <v>1.0</v>
      </c>
      <c r="Z58" s="13" t="s">
        <v>26</v>
      </c>
      <c r="AA58" s="13" t="s">
        <v>27</v>
      </c>
      <c r="AB58" s="13" t="s">
        <v>25</v>
      </c>
      <c r="AC58" s="13" t="s">
        <v>828</v>
      </c>
      <c r="AD58" s="13">
        <v>1.0</v>
      </c>
      <c r="AE58" s="13" t="s">
        <v>25</v>
      </c>
      <c r="AF58" s="13" t="s">
        <v>26</v>
      </c>
      <c r="AG58" s="13" t="s">
        <v>27</v>
      </c>
      <c r="AH58" s="13" t="s">
        <v>829</v>
      </c>
      <c r="AI58" s="13">
        <v>1.0</v>
      </c>
      <c r="AJ58" s="13" t="s">
        <v>25</v>
      </c>
      <c r="AK58" s="13" t="s">
        <v>27</v>
      </c>
      <c r="AL58" s="13" t="s">
        <v>26</v>
      </c>
      <c r="AM58" s="13" t="s">
        <v>830</v>
      </c>
      <c r="AN58" s="13">
        <v>1.0</v>
      </c>
      <c r="AO58" s="13" t="s">
        <v>25</v>
      </c>
      <c r="AP58" s="13" t="s">
        <v>27</v>
      </c>
      <c r="AQ58" s="13" t="s">
        <v>26</v>
      </c>
      <c r="AR58" s="13" t="s">
        <v>831</v>
      </c>
      <c r="AS58" s="13">
        <v>1.0</v>
      </c>
      <c r="AT58" s="27">
        <v>46216.560219907406</v>
      </c>
      <c r="AU58" s="27">
        <v>46216.58314814815</v>
      </c>
    </row>
    <row r="59">
      <c r="A59" s="11">
        <v>112.0</v>
      </c>
      <c r="B59" s="13" t="s">
        <v>206</v>
      </c>
      <c r="C59" s="13" t="s">
        <v>203</v>
      </c>
      <c r="D59" s="13" t="s">
        <v>204</v>
      </c>
      <c r="E59" s="13" t="s">
        <v>898</v>
      </c>
      <c r="F59" s="13" t="s">
        <v>25</v>
      </c>
      <c r="G59" s="13" t="s">
        <v>26</v>
      </c>
      <c r="H59" s="13" t="s">
        <v>27</v>
      </c>
      <c r="I59" s="13" t="s">
        <v>899</v>
      </c>
      <c r="J59" s="13">
        <v>1.0</v>
      </c>
      <c r="K59" s="13" t="s">
        <v>27</v>
      </c>
      <c r="L59" s="13" t="s">
        <v>25</v>
      </c>
      <c r="M59" s="13" t="s">
        <v>26</v>
      </c>
      <c r="N59" s="13" t="s">
        <v>900</v>
      </c>
      <c r="O59" s="13">
        <v>1.0</v>
      </c>
      <c r="P59" s="13" t="s">
        <v>26</v>
      </c>
      <c r="Q59" s="13" t="s">
        <v>25</v>
      </c>
      <c r="R59" s="13" t="s">
        <v>27</v>
      </c>
      <c r="S59" s="13" t="s">
        <v>901</v>
      </c>
      <c r="T59" s="13">
        <v>1.0</v>
      </c>
      <c r="U59" s="13" t="s">
        <v>26</v>
      </c>
      <c r="V59" s="13" t="s">
        <v>25</v>
      </c>
      <c r="W59" s="13" t="s">
        <v>27</v>
      </c>
      <c r="X59" s="13" t="s">
        <v>902</v>
      </c>
      <c r="Y59" s="13">
        <v>1.0</v>
      </c>
      <c r="Z59" s="13" t="s">
        <v>26</v>
      </c>
      <c r="AA59" s="13" t="s">
        <v>25</v>
      </c>
      <c r="AB59" s="13" t="s">
        <v>27</v>
      </c>
      <c r="AC59" s="13" t="s">
        <v>833</v>
      </c>
      <c r="AD59" s="13">
        <v>1.0</v>
      </c>
      <c r="AE59" s="13" t="s">
        <v>25</v>
      </c>
      <c r="AF59" s="13" t="s">
        <v>26</v>
      </c>
      <c r="AG59" s="13" t="s">
        <v>27</v>
      </c>
      <c r="AH59" s="13" t="s">
        <v>836</v>
      </c>
      <c r="AI59" s="13">
        <v>1.0</v>
      </c>
      <c r="AJ59" s="13" t="s">
        <v>25</v>
      </c>
      <c r="AK59" s="13" t="s">
        <v>26</v>
      </c>
      <c r="AL59" s="13" t="s">
        <v>27</v>
      </c>
      <c r="AM59" s="13" t="s">
        <v>838</v>
      </c>
      <c r="AN59" s="13">
        <v>1.0</v>
      </c>
      <c r="AO59" s="13" t="s">
        <v>25</v>
      </c>
      <c r="AP59" s="13" t="s">
        <v>27</v>
      </c>
      <c r="AQ59" s="13" t="s">
        <v>26</v>
      </c>
      <c r="AR59" s="13" t="s">
        <v>839</v>
      </c>
      <c r="AS59" s="13">
        <v>2.0</v>
      </c>
      <c r="AT59" s="27">
        <v>46216.563472222224</v>
      </c>
      <c r="AU59" s="27">
        <v>46216.58574074074</v>
      </c>
    </row>
    <row r="60">
      <c r="A60" s="11">
        <v>113.0</v>
      </c>
      <c r="B60" s="13" t="s">
        <v>203</v>
      </c>
      <c r="C60" s="13" t="s">
        <v>204</v>
      </c>
      <c r="D60" s="13" t="s">
        <v>206</v>
      </c>
      <c r="E60" s="13" t="s">
        <v>903</v>
      </c>
      <c r="F60" s="13" t="s">
        <v>25</v>
      </c>
      <c r="G60" s="13" t="s">
        <v>26</v>
      </c>
      <c r="H60" s="13" t="s">
        <v>27</v>
      </c>
      <c r="I60" s="13" t="s">
        <v>848</v>
      </c>
      <c r="J60" s="13">
        <v>1.0</v>
      </c>
      <c r="K60" s="13" t="s">
        <v>27</v>
      </c>
      <c r="L60" s="13" t="s">
        <v>25</v>
      </c>
      <c r="M60" s="13" t="s">
        <v>26</v>
      </c>
      <c r="N60" s="13" t="s">
        <v>848</v>
      </c>
      <c r="O60" s="13">
        <v>1.0</v>
      </c>
      <c r="P60" s="13" t="s">
        <v>26</v>
      </c>
      <c r="Q60" s="13" t="s">
        <v>25</v>
      </c>
      <c r="R60" s="13" t="s">
        <v>27</v>
      </c>
      <c r="S60" s="13" t="s">
        <v>848</v>
      </c>
      <c r="T60" s="13">
        <v>1.0</v>
      </c>
      <c r="U60" s="13" t="s">
        <v>26</v>
      </c>
      <c r="V60" s="13" t="s">
        <v>25</v>
      </c>
      <c r="W60" s="13" t="s">
        <v>27</v>
      </c>
      <c r="X60" s="13" t="s">
        <v>848</v>
      </c>
      <c r="Y60" s="13">
        <v>1.0</v>
      </c>
      <c r="Z60" s="13" t="s">
        <v>26</v>
      </c>
      <c r="AA60" s="13" t="s">
        <v>25</v>
      </c>
      <c r="AB60" s="13" t="s">
        <v>27</v>
      </c>
      <c r="AC60" s="13" t="s">
        <v>843</v>
      </c>
      <c r="AD60" s="13">
        <v>2.0</v>
      </c>
      <c r="AE60" s="13" t="s">
        <v>27</v>
      </c>
      <c r="AF60" s="13" t="s">
        <v>25</v>
      </c>
      <c r="AG60" s="13" t="s">
        <v>26</v>
      </c>
      <c r="AH60" s="13" t="s">
        <v>845</v>
      </c>
      <c r="AI60" s="13">
        <v>1.0</v>
      </c>
      <c r="AJ60" s="13" t="s">
        <v>25</v>
      </c>
      <c r="AK60" s="13" t="s">
        <v>26</v>
      </c>
      <c r="AL60" s="13" t="s">
        <v>27</v>
      </c>
      <c r="AM60" s="13" t="s">
        <v>846</v>
      </c>
      <c r="AN60" s="13">
        <v>1.0</v>
      </c>
      <c r="AO60" s="13" t="s">
        <v>26</v>
      </c>
      <c r="AP60" s="13" t="s">
        <v>25</v>
      </c>
      <c r="AQ60" s="13" t="s">
        <v>27</v>
      </c>
      <c r="AR60" s="13" t="s">
        <v>848</v>
      </c>
      <c r="AS60" s="13">
        <v>2.0</v>
      </c>
      <c r="AT60" s="27">
        <v>46216.619988425926</v>
      </c>
      <c r="AU60" s="27">
        <v>46216.63049768518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5"/>
    <col customWidth="1" min="3" max="3" width="6.75"/>
    <col customWidth="1" min="4" max="4" width="6.63"/>
    <col customWidth="1" min="5" max="5" width="6.38"/>
    <col customWidth="1" min="6" max="6" width="6.75"/>
    <col customWidth="1" min="7" max="7" width="6.88"/>
    <col customWidth="1" min="8" max="8" width="8.38"/>
    <col customWidth="1" min="9" max="9" width="7.5"/>
    <col customWidth="1" min="10" max="10" width="9.38"/>
    <col customWidth="1" min="11" max="11" width="7.38"/>
    <col customWidth="1" min="12" max="12" width="7.5"/>
    <col customWidth="1" min="13" max="14" width="7.38"/>
    <col customWidth="1" min="15" max="15" width="7.25"/>
    <col customWidth="1" min="16" max="16" width="6.38"/>
    <col customWidth="1" min="17" max="17" width="7.38"/>
    <col customWidth="1" min="18" max="19" width="7.25"/>
    <col customWidth="1" min="20" max="20" width="7.5"/>
    <col customWidth="1" min="21" max="21" width="6.63"/>
    <col customWidth="1" min="22" max="22" width="7.38"/>
    <col customWidth="1" min="23" max="23" width="7.63"/>
    <col customWidth="1" min="24" max="24" width="6.88"/>
    <col customWidth="1" min="25" max="25" width="7.5"/>
  </cols>
  <sheetData>
    <row r="1">
      <c r="A1" s="1"/>
      <c r="B1" s="1" t="s">
        <v>7</v>
      </c>
      <c r="C1" s="1" t="s">
        <v>8</v>
      </c>
      <c r="D1" s="1" t="s">
        <v>9</v>
      </c>
      <c r="E1" s="1" t="s">
        <v>16</v>
      </c>
      <c r="F1" s="1" t="s">
        <v>19</v>
      </c>
      <c r="G1" s="1" t="s">
        <v>21</v>
      </c>
      <c r="H1" s="1" t="s">
        <v>29</v>
      </c>
      <c r="I1" s="1" t="s">
        <v>31</v>
      </c>
      <c r="J1" s="1" t="s">
        <v>33</v>
      </c>
      <c r="K1" s="1" t="s">
        <v>36</v>
      </c>
      <c r="L1" s="1" t="s">
        <v>38</v>
      </c>
      <c r="M1" s="1" t="s">
        <v>40</v>
      </c>
      <c r="N1" s="1" t="s">
        <v>42</v>
      </c>
      <c r="O1" s="1" t="s">
        <v>44</v>
      </c>
      <c r="P1" s="1" t="s">
        <v>47</v>
      </c>
      <c r="Q1" s="1" t="s">
        <v>50</v>
      </c>
      <c r="R1" s="1" t="s">
        <v>53</v>
      </c>
      <c r="S1" s="1" t="s">
        <v>54</v>
      </c>
      <c r="T1" s="1" t="s">
        <v>55</v>
      </c>
      <c r="U1" s="1" t="s">
        <v>56</v>
      </c>
      <c r="V1" s="1" t="s">
        <v>58</v>
      </c>
      <c r="W1" s="1" t="s">
        <v>60</v>
      </c>
      <c r="X1" s="1" t="s">
        <v>63</v>
      </c>
      <c r="Y1" s="1" t="s">
        <v>64</v>
      </c>
    </row>
    <row r="2">
      <c r="A2" s="11">
        <v>15.0</v>
      </c>
      <c r="B2" s="13">
        <v>2.0</v>
      </c>
      <c r="C2" s="13">
        <v>3.0</v>
      </c>
      <c r="D2" s="13">
        <v>1.0</v>
      </c>
      <c r="E2" s="13">
        <v>3.0</v>
      </c>
      <c r="F2" s="13">
        <v>2.0</v>
      </c>
      <c r="G2" s="13">
        <v>1.0</v>
      </c>
      <c r="H2" s="13">
        <v>1.0</v>
      </c>
      <c r="I2" s="13">
        <v>3.0</v>
      </c>
      <c r="J2" s="13">
        <v>2.0</v>
      </c>
      <c r="K2" s="13">
        <v>2.0</v>
      </c>
      <c r="L2" s="13">
        <v>3.0</v>
      </c>
      <c r="M2" s="13">
        <v>1.0</v>
      </c>
      <c r="N2" s="13">
        <v>3.0</v>
      </c>
      <c r="O2" s="13">
        <v>2.0</v>
      </c>
      <c r="P2" s="13">
        <v>1.0</v>
      </c>
      <c r="Q2" s="13">
        <v>1.0</v>
      </c>
      <c r="R2" s="13">
        <v>2.0</v>
      </c>
      <c r="S2" s="13">
        <v>3.0</v>
      </c>
      <c r="T2" s="13">
        <v>2.0</v>
      </c>
      <c r="U2" s="13">
        <v>3.0</v>
      </c>
      <c r="V2" s="13">
        <v>1.0</v>
      </c>
      <c r="W2" s="13">
        <v>3.0</v>
      </c>
      <c r="X2" s="13">
        <v>2.0</v>
      </c>
      <c r="Y2" s="13">
        <v>1.0</v>
      </c>
    </row>
    <row r="3">
      <c r="A3" s="11">
        <v>17.0</v>
      </c>
      <c r="B3" s="13">
        <v>2.0</v>
      </c>
      <c r="C3" s="13">
        <v>3.0</v>
      </c>
      <c r="D3" s="13">
        <v>1.0</v>
      </c>
      <c r="E3" s="13">
        <v>3.0</v>
      </c>
      <c r="F3" s="13">
        <v>2.0</v>
      </c>
      <c r="G3" s="13">
        <v>1.0</v>
      </c>
      <c r="H3" s="13">
        <v>1.0</v>
      </c>
      <c r="I3" s="13">
        <v>3.0</v>
      </c>
      <c r="J3" s="13">
        <v>2.0</v>
      </c>
      <c r="K3" s="13">
        <v>1.0</v>
      </c>
      <c r="L3" s="13">
        <v>2.0</v>
      </c>
      <c r="M3" s="13">
        <v>3.0</v>
      </c>
      <c r="N3" s="13">
        <v>2.0</v>
      </c>
      <c r="O3" s="13">
        <v>1.0</v>
      </c>
      <c r="P3" s="13">
        <v>3.0</v>
      </c>
      <c r="Q3" s="13">
        <v>3.0</v>
      </c>
      <c r="R3" s="13">
        <v>1.0</v>
      </c>
      <c r="S3" s="13">
        <v>2.0</v>
      </c>
      <c r="T3" s="13">
        <v>2.0</v>
      </c>
      <c r="U3" s="13">
        <v>3.0</v>
      </c>
      <c r="V3" s="13">
        <v>1.0</v>
      </c>
      <c r="W3" s="13">
        <v>1.0</v>
      </c>
      <c r="X3" s="13">
        <v>2.0</v>
      </c>
      <c r="Y3" s="13">
        <v>3.0</v>
      </c>
    </row>
    <row r="4">
      <c r="A4" s="11">
        <v>18.0</v>
      </c>
      <c r="B4" s="13">
        <v>2.0</v>
      </c>
      <c r="C4" s="13">
        <v>1.0</v>
      </c>
      <c r="D4" s="13">
        <v>3.0</v>
      </c>
      <c r="E4" s="13">
        <v>3.0</v>
      </c>
      <c r="F4" s="13">
        <v>2.0</v>
      </c>
      <c r="G4" s="13">
        <v>1.0</v>
      </c>
      <c r="H4" s="13">
        <v>1.0</v>
      </c>
      <c r="I4" s="13">
        <v>2.0</v>
      </c>
      <c r="J4" s="13">
        <v>3.0</v>
      </c>
      <c r="K4" s="13">
        <v>1.0</v>
      </c>
      <c r="L4" s="13">
        <v>2.0</v>
      </c>
      <c r="M4" s="13">
        <v>3.0</v>
      </c>
      <c r="N4" s="13">
        <v>1.0</v>
      </c>
      <c r="O4" s="13">
        <v>2.0</v>
      </c>
      <c r="P4" s="13">
        <v>3.0</v>
      </c>
      <c r="Q4" s="13">
        <v>1.0</v>
      </c>
      <c r="R4" s="13">
        <v>2.0</v>
      </c>
      <c r="S4" s="13">
        <v>3.0</v>
      </c>
      <c r="T4" s="13">
        <v>2.0</v>
      </c>
      <c r="U4" s="13">
        <v>3.0</v>
      </c>
      <c r="V4" s="13">
        <v>1.0</v>
      </c>
      <c r="W4" s="13">
        <v>2.0</v>
      </c>
      <c r="X4" s="13">
        <v>3.0</v>
      </c>
      <c r="Y4" s="13">
        <v>1.0</v>
      </c>
    </row>
    <row r="5">
      <c r="A5" s="11">
        <v>20.0</v>
      </c>
      <c r="B5" s="13">
        <v>2.0</v>
      </c>
      <c r="C5" s="13">
        <v>3.0</v>
      </c>
      <c r="D5" s="13">
        <v>1.0</v>
      </c>
      <c r="E5" s="13">
        <v>3.0</v>
      </c>
      <c r="F5" s="13">
        <v>2.0</v>
      </c>
      <c r="G5" s="13">
        <v>1.0</v>
      </c>
      <c r="H5" s="13">
        <v>1.0</v>
      </c>
      <c r="I5" s="13">
        <v>2.0</v>
      </c>
      <c r="J5" s="13">
        <v>3.0</v>
      </c>
      <c r="K5" s="13">
        <v>1.0</v>
      </c>
      <c r="L5" s="13">
        <v>2.0</v>
      </c>
      <c r="M5" s="13">
        <v>3.0</v>
      </c>
      <c r="N5" s="13">
        <v>3.0</v>
      </c>
      <c r="O5" s="13">
        <v>1.0</v>
      </c>
      <c r="P5" s="13">
        <v>2.0</v>
      </c>
      <c r="Q5" s="13">
        <v>1.0</v>
      </c>
      <c r="R5" s="13">
        <v>2.0</v>
      </c>
      <c r="S5" s="13">
        <v>3.0</v>
      </c>
      <c r="T5" s="13">
        <v>3.0</v>
      </c>
      <c r="U5" s="13">
        <v>2.0</v>
      </c>
      <c r="V5" s="13">
        <v>1.0</v>
      </c>
      <c r="W5" s="13">
        <v>2.0</v>
      </c>
      <c r="X5" s="13">
        <v>3.0</v>
      </c>
      <c r="Y5" s="13">
        <v>1.0</v>
      </c>
    </row>
    <row r="6">
      <c r="A6" s="11">
        <v>21.0</v>
      </c>
      <c r="B6" s="13">
        <v>2.0</v>
      </c>
      <c r="C6" s="13">
        <v>3.0</v>
      </c>
      <c r="D6" s="13">
        <v>1.0</v>
      </c>
      <c r="E6" s="13">
        <v>3.0</v>
      </c>
      <c r="F6" s="13">
        <v>2.0</v>
      </c>
      <c r="G6" s="13">
        <v>1.0</v>
      </c>
      <c r="H6" s="13">
        <v>1.0</v>
      </c>
      <c r="I6" s="13">
        <v>2.0</v>
      </c>
      <c r="J6" s="13">
        <v>3.0</v>
      </c>
      <c r="K6" s="13">
        <v>1.0</v>
      </c>
      <c r="L6" s="13">
        <v>2.0</v>
      </c>
      <c r="M6" s="13">
        <v>3.0</v>
      </c>
      <c r="N6" s="13">
        <v>3.0</v>
      </c>
      <c r="O6" s="13">
        <v>2.0</v>
      </c>
      <c r="P6" s="13">
        <v>1.0</v>
      </c>
      <c r="Q6" s="13">
        <v>2.0</v>
      </c>
      <c r="R6" s="13">
        <v>1.0</v>
      </c>
      <c r="S6" s="13">
        <v>3.0</v>
      </c>
      <c r="T6" s="13">
        <v>1.0</v>
      </c>
      <c r="U6" s="13">
        <v>2.0</v>
      </c>
      <c r="V6" s="13">
        <v>3.0</v>
      </c>
      <c r="W6" s="13">
        <v>2.0</v>
      </c>
      <c r="X6" s="13">
        <v>1.0</v>
      </c>
      <c r="Y6" s="13">
        <v>3.0</v>
      </c>
    </row>
    <row r="7">
      <c r="A7" s="11">
        <v>22.0</v>
      </c>
      <c r="B7" s="13">
        <v>2.0</v>
      </c>
      <c r="C7" s="13">
        <v>3.0</v>
      </c>
      <c r="D7" s="13">
        <v>1.0</v>
      </c>
      <c r="E7" s="13">
        <v>3.0</v>
      </c>
      <c r="F7" s="13">
        <v>2.0</v>
      </c>
      <c r="G7" s="13">
        <v>1.0</v>
      </c>
      <c r="H7" s="13">
        <v>1.0</v>
      </c>
      <c r="I7" s="13">
        <v>2.0</v>
      </c>
      <c r="J7" s="13">
        <v>3.0</v>
      </c>
      <c r="K7" s="13">
        <v>1.0</v>
      </c>
      <c r="L7" s="13">
        <v>2.0</v>
      </c>
      <c r="M7" s="13">
        <v>3.0</v>
      </c>
      <c r="N7" s="13">
        <v>2.0</v>
      </c>
      <c r="O7" s="13">
        <v>1.0</v>
      </c>
      <c r="P7" s="13">
        <v>3.0</v>
      </c>
      <c r="Q7" s="13">
        <v>2.0</v>
      </c>
      <c r="R7" s="13">
        <v>1.0</v>
      </c>
      <c r="S7" s="13">
        <v>3.0</v>
      </c>
      <c r="T7" s="13">
        <v>1.0</v>
      </c>
      <c r="U7" s="13">
        <v>2.0</v>
      </c>
      <c r="V7" s="13">
        <v>3.0</v>
      </c>
      <c r="W7" s="13">
        <v>2.0</v>
      </c>
      <c r="X7" s="13">
        <v>1.0</v>
      </c>
      <c r="Y7" s="13">
        <v>3.0</v>
      </c>
    </row>
    <row r="8">
      <c r="A8" s="11">
        <v>23.0</v>
      </c>
      <c r="B8" s="13">
        <v>2.0</v>
      </c>
      <c r="C8" s="13">
        <v>1.0</v>
      </c>
      <c r="D8" s="13">
        <v>3.0</v>
      </c>
      <c r="E8" s="13">
        <v>3.0</v>
      </c>
      <c r="F8" s="13">
        <v>2.0</v>
      </c>
      <c r="G8" s="13">
        <v>1.0</v>
      </c>
      <c r="H8" s="13">
        <v>1.0</v>
      </c>
      <c r="I8" s="13">
        <v>3.0</v>
      </c>
      <c r="J8" s="13">
        <v>2.0</v>
      </c>
      <c r="K8" s="13">
        <v>1.0</v>
      </c>
      <c r="L8" s="13">
        <v>3.0</v>
      </c>
      <c r="M8" s="13">
        <v>2.0</v>
      </c>
      <c r="N8" s="13">
        <v>1.0</v>
      </c>
      <c r="O8" s="13">
        <v>3.0</v>
      </c>
      <c r="P8" s="13">
        <v>2.0</v>
      </c>
      <c r="Q8" s="13">
        <v>2.0</v>
      </c>
      <c r="R8" s="13">
        <v>3.0</v>
      </c>
      <c r="S8" s="13">
        <v>1.0</v>
      </c>
      <c r="T8" s="13">
        <v>2.0</v>
      </c>
      <c r="U8" s="13">
        <v>3.0</v>
      </c>
      <c r="V8" s="13">
        <v>1.0</v>
      </c>
      <c r="W8" s="13">
        <v>2.0</v>
      </c>
      <c r="X8" s="13">
        <v>3.0</v>
      </c>
      <c r="Y8" s="13">
        <v>1.0</v>
      </c>
    </row>
    <row r="9">
      <c r="A9" s="11">
        <v>24.0</v>
      </c>
      <c r="B9" s="13">
        <v>2.0</v>
      </c>
      <c r="C9" s="13">
        <v>1.0</v>
      </c>
      <c r="D9" s="13">
        <v>3.0</v>
      </c>
      <c r="E9" s="13">
        <v>2.0</v>
      </c>
      <c r="F9" s="13">
        <v>3.0</v>
      </c>
      <c r="G9" s="13">
        <v>1.0</v>
      </c>
      <c r="H9" s="13">
        <v>1.0</v>
      </c>
      <c r="I9" s="13">
        <v>2.0</v>
      </c>
      <c r="J9" s="13">
        <v>3.0</v>
      </c>
      <c r="K9" s="13">
        <v>1.0</v>
      </c>
      <c r="L9" s="13">
        <v>2.0</v>
      </c>
      <c r="M9" s="13">
        <v>3.0</v>
      </c>
      <c r="N9" s="13">
        <v>1.0</v>
      </c>
      <c r="O9" s="13">
        <v>3.0</v>
      </c>
      <c r="P9" s="13">
        <v>2.0</v>
      </c>
      <c r="Q9" s="13">
        <v>2.0</v>
      </c>
      <c r="R9" s="13">
        <v>1.0</v>
      </c>
      <c r="S9" s="13">
        <v>3.0</v>
      </c>
      <c r="T9" s="13">
        <v>2.0</v>
      </c>
      <c r="U9" s="13">
        <v>1.0</v>
      </c>
      <c r="V9" s="13">
        <v>3.0</v>
      </c>
      <c r="W9" s="13">
        <v>2.0</v>
      </c>
      <c r="X9" s="13">
        <v>3.0</v>
      </c>
      <c r="Y9" s="13">
        <v>1.0</v>
      </c>
    </row>
    <row r="10">
      <c r="A10" s="11">
        <v>25.0</v>
      </c>
      <c r="B10" s="13">
        <v>2.0</v>
      </c>
      <c r="C10" s="13">
        <v>3.0</v>
      </c>
      <c r="D10" s="13">
        <v>1.0</v>
      </c>
      <c r="E10" s="13">
        <v>3.0</v>
      </c>
      <c r="F10" s="13">
        <v>2.0</v>
      </c>
      <c r="G10" s="13">
        <v>1.0</v>
      </c>
      <c r="H10" s="13">
        <v>1.0</v>
      </c>
      <c r="I10" s="13">
        <v>2.0</v>
      </c>
      <c r="J10" s="13">
        <v>3.0</v>
      </c>
      <c r="K10" s="13">
        <v>1.0</v>
      </c>
      <c r="L10" s="13">
        <v>2.0</v>
      </c>
      <c r="M10" s="13">
        <v>3.0</v>
      </c>
      <c r="N10" s="13">
        <v>1.0</v>
      </c>
      <c r="O10" s="13">
        <v>2.0</v>
      </c>
      <c r="P10" s="13">
        <v>3.0</v>
      </c>
      <c r="Q10" s="13">
        <v>2.0</v>
      </c>
      <c r="R10" s="13">
        <v>1.0</v>
      </c>
      <c r="S10" s="13">
        <v>3.0</v>
      </c>
      <c r="T10" s="13">
        <v>2.0</v>
      </c>
      <c r="U10" s="13">
        <v>3.0</v>
      </c>
      <c r="V10" s="13">
        <v>1.0</v>
      </c>
      <c r="W10" s="13">
        <v>3.0</v>
      </c>
      <c r="X10" s="13">
        <v>2.0</v>
      </c>
      <c r="Y10" s="13">
        <v>1.0</v>
      </c>
    </row>
    <row r="11">
      <c r="A11" s="11">
        <v>26.0</v>
      </c>
      <c r="B11" s="13">
        <v>2.0</v>
      </c>
      <c r="C11" s="13">
        <v>1.0</v>
      </c>
      <c r="D11" s="13">
        <v>3.0</v>
      </c>
      <c r="E11" s="13">
        <v>3.0</v>
      </c>
      <c r="F11" s="13">
        <v>2.0</v>
      </c>
      <c r="G11" s="13">
        <v>1.0</v>
      </c>
      <c r="H11" s="13">
        <v>1.0</v>
      </c>
      <c r="I11" s="13">
        <v>2.0</v>
      </c>
      <c r="J11" s="13">
        <v>3.0</v>
      </c>
      <c r="K11" s="13">
        <v>1.0</v>
      </c>
      <c r="L11" s="13">
        <v>2.0</v>
      </c>
      <c r="M11" s="13">
        <v>3.0</v>
      </c>
      <c r="N11" s="13">
        <v>1.0</v>
      </c>
      <c r="O11" s="13">
        <v>3.0</v>
      </c>
      <c r="P11" s="13">
        <v>2.0</v>
      </c>
      <c r="Q11" s="13">
        <v>2.0</v>
      </c>
      <c r="R11" s="13">
        <v>3.0</v>
      </c>
      <c r="S11" s="13">
        <v>1.0</v>
      </c>
      <c r="T11" s="13">
        <v>2.0</v>
      </c>
      <c r="U11" s="13">
        <v>3.0</v>
      </c>
      <c r="V11" s="13">
        <v>1.0</v>
      </c>
      <c r="W11" s="13">
        <v>1.0</v>
      </c>
      <c r="X11" s="13">
        <v>2.0</v>
      </c>
      <c r="Y11" s="13">
        <v>3.0</v>
      </c>
    </row>
    <row r="12">
      <c r="A12" s="11">
        <v>30.0</v>
      </c>
      <c r="B12" s="13">
        <v>2.0</v>
      </c>
      <c r="C12" s="13">
        <v>1.0</v>
      </c>
      <c r="D12" s="13">
        <v>3.0</v>
      </c>
      <c r="E12" s="13">
        <v>3.0</v>
      </c>
      <c r="F12" s="13">
        <v>2.0</v>
      </c>
      <c r="G12" s="13">
        <v>1.0</v>
      </c>
      <c r="H12" s="13">
        <v>1.0</v>
      </c>
      <c r="I12" s="13">
        <v>2.0</v>
      </c>
      <c r="J12" s="13">
        <v>3.0</v>
      </c>
      <c r="K12" s="13">
        <v>1.0</v>
      </c>
      <c r="L12" s="13">
        <v>2.0</v>
      </c>
      <c r="M12" s="13">
        <v>3.0</v>
      </c>
      <c r="N12" s="33"/>
      <c r="O12" s="33"/>
      <c r="P12" s="33"/>
      <c r="Q12" s="33"/>
      <c r="R12" s="33"/>
      <c r="S12" s="33"/>
      <c r="T12" s="13">
        <v>3.0</v>
      </c>
      <c r="U12" s="13">
        <v>2.0</v>
      </c>
      <c r="V12" s="13">
        <v>1.0</v>
      </c>
      <c r="W12" s="33"/>
      <c r="X12" s="33"/>
      <c r="Y12" s="33"/>
    </row>
    <row r="13">
      <c r="A13" s="11">
        <v>31.0</v>
      </c>
      <c r="B13" s="13">
        <v>2.0</v>
      </c>
      <c r="C13" s="13">
        <v>1.0</v>
      </c>
      <c r="D13" s="13">
        <v>3.0</v>
      </c>
      <c r="E13" s="13">
        <v>3.0</v>
      </c>
      <c r="F13" s="13">
        <v>2.0</v>
      </c>
      <c r="G13" s="13">
        <v>1.0</v>
      </c>
      <c r="H13" s="13">
        <v>1.0</v>
      </c>
      <c r="I13" s="13">
        <v>3.0</v>
      </c>
      <c r="J13" s="13">
        <v>2.0</v>
      </c>
      <c r="K13" s="13">
        <v>1.0</v>
      </c>
      <c r="L13" s="13">
        <v>2.0</v>
      </c>
      <c r="M13" s="13">
        <v>3.0</v>
      </c>
      <c r="N13" s="13">
        <v>3.0</v>
      </c>
      <c r="O13" s="13">
        <v>2.0</v>
      </c>
      <c r="P13" s="13">
        <v>1.0</v>
      </c>
      <c r="Q13" s="13">
        <v>2.0</v>
      </c>
      <c r="R13" s="13">
        <v>3.0</v>
      </c>
      <c r="S13" s="13">
        <v>1.0</v>
      </c>
      <c r="T13" s="13">
        <v>2.0</v>
      </c>
      <c r="U13" s="13">
        <v>1.0</v>
      </c>
      <c r="V13" s="13">
        <v>3.0</v>
      </c>
      <c r="W13" s="13">
        <v>2.0</v>
      </c>
      <c r="X13" s="13">
        <v>3.0</v>
      </c>
      <c r="Y13" s="13">
        <v>1.0</v>
      </c>
    </row>
    <row r="14">
      <c r="A14" s="11">
        <v>34.0</v>
      </c>
      <c r="B14" s="13">
        <v>3.0</v>
      </c>
      <c r="C14" s="13">
        <v>2.0</v>
      </c>
      <c r="D14" s="13">
        <v>1.0</v>
      </c>
      <c r="E14" s="13">
        <v>3.0</v>
      </c>
      <c r="F14" s="13">
        <v>2.0</v>
      </c>
      <c r="G14" s="13">
        <v>1.0</v>
      </c>
      <c r="H14" s="13">
        <v>1.0</v>
      </c>
      <c r="I14" s="13">
        <v>2.0</v>
      </c>
      <c r="J14" s="13">
        <v>3.0</v>
      </c>
      <c r="K14" s="13">
        <v>1.0</v>
      </c>
      <c r="L14" s="13">
        <v>3.0</v>
      </c>
      <c r="M14" s="13">
        <v>2.0</v>
      </c>
      <c r="N14" s="13">
        <v>3.0</v>
      </c>
      <c r="O14" s="13">
        <v>1.0</v>
      </c>
      <c r="P14" s="13">
        <v>2.0</v>
      </c>
      <c r="Q14" s="13">
        <v>1.0</v>
      </c>
      <c r="R14" s="13">
        <v>2.0</v>
      </c>
      <c r="S14" s="13">
        <v>3.0</v>
      </c>
      <c r="T14" s="13">
        <v>2.0</v>
      </c>
      <c r="U14" s="13">
        <v>1.0</v>
      </c>
      <c r="V14" s="13">
        <v>3.0</v>
      </c>
      <c r="W14" s="13">
        <v>3.0</v>
      </c>
      <c r="X14" s="13">
        <v>2.0</v>
      </c>
      <c r="Y14" s="13">
        <v>1.0</v>
      </c>
    </row>
    <row r="15">
      <c r="A15" s="11">
        <v>36.0</v>
      </c>
      <c r="B15" s="13">
        <v>2.0</v>
      </c>
      <c r="C15" s="13">
        <v>3.0</v>
      </c>
      <c r="D15" s="13">
        <v>1.0</v>
      </c>
      <c r="E15" s="13">
        <v>3.0</v>
      </c>
      <c r="F15" s="13">
        <v>2.0</v>
      </c>
      <c r="G15" s="13">
        <v>1.0</v>
      </c>
      <c r="H15" s="13">
        <v>1.0</v>
      </c>
      <c r="I15" s="13">
        <v>2.0</v>
      </c>
      <c r="J15" s="13">
        <v>3.0</v>
      </c>
      <c r="K15" s="13">
        <v>1.0</v>
      </c>
      <c r="L15" s="13">
        <v>2.0</v>
      </c>
      <c r="M15" s="13">
        <v>3.0</v>
      </c>
      <c r="N15" s="13">
        <v>3.0</v>
      </c>
      <c r="O15" s="13">
        <v>1.0</v>
      </c>
      <c r="P15" s="13">
        <v>2.0</v>
      </c>
      <c r="Q15" s="13">
        <v>2.0</v>
      </c>
      <c r="R15" s="13">
        <v>1.0</v>
      </c>
      <c r="S15" s="13">
        <v>3.0</v>
      </c>
      <c r="T15" s="13">
        <v>2.0</v>
      </c>
      <c r="U15" s="13">
        <v>1.0</v>
      </c>
      <c r="V15" s="13">
        <v>3.0</v>
      </c>
      <c r="W15" s="13">
        <v>2.0</v>
      </c>
      <c r="X15" s="13">
        <v>1.0</v>
      </c>
      <c r="Y15" s="13">
        <v>3.0</v>
      </c>
    </row>
    <row r="16">
      <c r="A16" s="11">
        <v>37.0</v>
      </c>
      <c r="B16" s="13">
        <v>2.0</v>
      </c>
      <c r="C16" s="13">
        <v>1.0</v>
      </c>
      <c r="D16" s="13">
        <v>3.0</v>
      </c>
      <c r="E16" s="13">
        <v>3.0</v>
      </c>
      <c r="F16" s="13">
        <v>2.0</v>
      </c>
      <c r="G16" s="13">
        <v>1.0</v>
      </c>
      <c r="H16" s="13">
        <v>1.0</v>
      </c>
      <c r="I16" s="13">
        <v>2.0</v>
      </c>
      <c r="J16" s="13">
        <v>3.0</v>
      </c>
      <c r="K16" s="13">
        <v>1.0</v>
      </c>
      <c r="L16" s="13">
        <v>2.0</v>
      </c>
      <c r="M16" s="13">
        <v>3.0</v>
      </c>
      <c r="N16" s="13">
        <v>2.0</v>
      </c>
      <c r="O16" s="13">
        <v>3.0</v>
      </c>
      <c r="P16" s="13">
        <v>1.0</v>
      </c>
      <c r="Q16" s="13">
        <v>2.0</v>
      </c>
      <c r="R16" s="13">
        <v>1.0</v>
      </c>
      <c r="S16" s="13">
        <v>3.0</v>
      </c>
      <c r="T16" s="13">
        <v>2.0</v>
      </c>
      <c r="U16" s="13">
        <v>3.0</v>
      </c>
      <c r="V16" s="13">
        <v>1.0</v>
      </c>
      <c r="W16" s="13">
        <v>2.0</v>
      </c>
      <c r="X16" s="13">
        <v>3.0</v>
      </c>
      <c r="Y16" s="13">
        <v>1.0</v>
      </c>
    </row>
    <row r="17">
      <c r="A17" s="11">
        <v>38.0</v>
      </c>
      <c r="B17" s="13">
        <v>2.0</v>
      </c>
      <c r="C17" s="13">
        <v>3.0</v>
      </c>
      <c r="D17" s="13">
        <v>1.0</v>
      </c>
      <c r="E17" s="13">
        <v>2.0</v>
      </c>
      <c r="F17" s="13">
        <v>3.0</v>
      </c>
      <c r="G17" s="13">
        <v>1.0</v>
      </c>
      <c r="H17" s="13">
        <v>1.0</v>
      </c>
      <c r="I17" s="13">
        <v>2.0</v>
      </c>
      <c r="J17" s="13">
        <v>3.0</v>
      </c>
      <c r="K17" s="13">
        <v>1.0</v>
      </c>
      <c r="L17" s="13">
        <v>2.0</v>
      </c>
      <c r="M17" s="13">
        <v>3.0</v>
      </c>
      <c r="N17" s="13">
        <v>3.0</v>
      </c>
      <c r="O17" s="13">
        <v>1.0</v>
      </c>
      <c r="P17" s="13">
        <v>2.0</v>
      </c>
      <c r="Q17" s="13">
        <v>1.0</v>
      </c>
      <c r="R17" s="13">
        <v>2.0</v>
      </c>
      <c r="S17" s="13">
        <v>3.0</v>
      </c>
      <c r="T17" s="13">
        <v>3.0</v>
      </c>
      <c r="U17" s="13">
        <v>2.0</v>
      </c>
      <c r="V17" s="13">
        <v>1.0</v>
      </c>
      <c r="W17" s="13">
        <v>3.0</v>
      </c>
      <c r="X17" s="13">
        <v>2.0</v>
      </c>
      <c r="Y17" s="13">
        <v>1.0</v>
      </c>
    </row>
    <row r="18">
      <c r="A18" s="11">
        <v>39.0</v>
      </c>
      <c r="B18" s="13">
        <v>2.0</v>
      </c>
      <c r="C18" s="13">
        <v>1.0</v>
      </c>
      <c r="D18" s="13">
        <v>3.0</v>
      </c>
      <c r="E18" s="13">
        <v>2.0</v>
      </c>
      <c r="F18" s="13">
        <v>3.0</v>
      </c>
      <c r="G18" s="13">
        <v>1.0</v>
      </c>
      <c r="H18" s="13">
        <v>1.0</v>
      </c>
      <c r="I18" s="13">
        <v>2.0</v>
      </c>
      <c r="J18" s="13">
        <v>3.0</v>
      </c>
      <c r="K18" s="13">
        <v>1.0</v>
      </c>
      <c r="L18" s="13">
        <v>2.0</v>
      </c>
      <c r="M18" s="13">
        <v>3.0</v>
      </c>
      <c r="N18" s="13">
        <v>3.0</v>
      </c>
      <c r="O18" s="13">
        <v>1.0</v>
      </c>
      <c r="P18" s="13">
        <v>2.0</v>
      </c>
      <c r="Q18" s="13">
        <v>2.0</v>
      </c>
      <c r="R18" s="13">
        <v>1.0</v>
      </c>
      <c r="S18" s="13">
        <v>3.0</v>
      </c>
      <c r="T18" s="13">
        <v>3.0</v>
      </c>
      <c r="U18" s="13">
        <v>2.0</v>
      </c>
      <c r="V18" s="13">
        <v>1.0</v>
      </c>
      <c r="W18" s="13">
        <v>3.0</v>
      </c>
      <c r="X18" s="13">
        <v>2.0</v>
      </c>
      <c r="Y18" s="13">
        <v>1.0</v>
      </c>
    </row>
    <row r="19">
      <c r="A19" s="11">
        <v>40.0</v>
      </c>
      <c r="B19" s="13">
        <v>2.0</v>
      </c>
      <c r="C19" s="13">
        <v>1.0</v>
      </c>
      <c r="D19" s="13">
        <v>3.0</v>
      </c>
      <c r="E19" s="13">
        <v>3.0</v>
      </c>
      <c r="F19" s="13">
        <v>2.0</v>
      </c>
      <c r="G19" s="13">
        <v>1.0</v>
      </c>
      <c r="H19" s="13">
        <v>1.0</v>
      </c>
      <c r="I19" s="13">
        <v>2.0</v>
      </c>
      <c r="J19" s="13">
        <v>3.0</v>
      </c>
      <c r="K19" s="13">
        <v>1.0</v>
      </c>
      <c r="L19" s="13">
        <v>3.0</v>
      </c>
      <c r="M19" s="13">
        <v>2.0</v>
      </c>
      <c r="N19" s="13">
        <v>3.0</v>
      </c>
      <c r="O19" s="13">
        <v>1.0</v>
      </c>
      <c r="P19" s="13">
        <v>2.0</v>
      </c>
      <c r="Q19" s="13">
        <v>1.0</v>
      </c>
      <c r="R19" s="13">
        <v>2.0</v>
      </c>
      <c r="S19" s="13">
        <v>3.0</v>
      </c>
      <c r="T19" s="13">
        <v>2.0</v>
      </c>
      <c r="U19" s="13">
        <v>3.0</v>
      </c>
      <c r="V19" s="13">
        <v>1.0</v>
      </c>
      <c r="W19" s="13">
        <v>3.0</v>
      </c>
      <c r="X19" s="13">
        <v>2.0</v>
      </c>
      <c r="Y19" s="13">
        <v>1.0</v>
      </c>
    </row>
    <row r="20">
      <c r="A20" s="11">
        <v>41.0</v>
      </c>
      <c r="B20" s="13">
        <v>2.0</v>
      </c>
      <c r="C20" s="13">
        <v>3.0</v>
      </c>
      <c r="D20" s="13">
        <v>1.0</v>
      </c>
      <c r="E20" s="13">
        <v>3.0</v>
      </c>
      <c r="F20" s="13">
        <v>1.0</v>
      </c>
      <c r="G20" s="13">
        <v>2.0</v>
      </c>
      <c r="H20" s="13">
        <v>1.0</v>
      </c>
      <c r="I20" s="13">
        <v>3.0</v>
      </c>
      <c r="J20" s="13">
        <v>2.0</v>
      </c>
      <c r="K20" s="13">
        <v>1.0</v>
      </c>
      <c r="L20" s="13">
        <v>2.0</v>
      </c>
      <c r="M20" s="13">
        <v>3.0</v>
      </c>
      <c r="N20" s="13">
        <v>1.0</v>
      </c>
      <c r="O20" s="13">
        <v>3.0</v>
      </c>
      <c r="P20" s="13">
        <v>2.0</v>
      </c>
      <c r="Q20" s="13">
        <v>2.0</v>
      </c>
      <c r="R20" s="13">
        <v>3.0</v>
      </c>
      <c r="S20" s="13">
        <v>1.0</v>
      </c>
      <c r="T20" s="13">
        <v>3.0</v>
      </c>
      <c r="U20" s="13">
        <v>1.0</v>
      </c>
      <c r="V20" s="13">
        <v>2.0</v>
      </c>
      <c r="W20" s="13">
        <v>1.0</v>
      </c>
      <c r="X20" s="13">
        <v>3.0</v>
      </c>
      <c r="Y20" s="13">
        <v>2.0</v>
      </c>
    </row>
    <row r="21">
      <c r="A21" s="11">
        <v>47.0</v>
      </c>
      <c r="B21" s="13">
        <v>2.0</v>
      </c>
      <c r="C21" s="13">
        <v>1.0</v>
      </c>
      <c r="D21" s="13">
        <v>3.0</v>
      </c>
      <c r="E21" s="13">
        <v>3.0</v>
      </c>
      <c r="F21" s="13">
        <v>2.0</v>
      </c>
      <c r="G21" s="13">
        <v>1.0</v>
      </c>
      <c r="H21" s="13">
        <v>1.0</v>
      </c>
      <c r="I21" s="13">
        <v>2.0</v>
      </c>
      <c r="J21" s="13">
        <v>3.0</v>
      </c>
      <c r="K21" s="13">
        <v>1.0</v>
      </c>
      <c r="L21" s="13">
        <v>2.0</v>
      </c>
      <c r="M21" s="13">
        <v>3.0</v>
      </c>
      <c r="N21" s="13">
        <v>3.0</v>
      </c>
      <c r="O21" s="13">
        <v>1.0</v>
      </c>
      <c r="P21" s="13">
        <v>2.0</v>
      </c>
      <c r="Q21" s="13">
        <v>2.0</v>
      </c>
      <c r="R21" s="13">
        <v>1.0</v>
      </c>
      <c r="S21" s="13">
        <v>3.0</v>
      </c>
      <c r="T21" s="13">
        <v>2.0</v>
      </c>
      <c r="U21" s="13">
        <v>3.0</v>
      </c>
      <c r="V21" s="13">
        <v>1.0</v>
      </c>
      <c r="W21" s="13">
        <v>2.0</v>
      </c>
      <c r="X21" s="13">
        <v>3.0</v>
      </c>
      <c r="Y21" s="13">
        <v>1.0</v>
      </c>
    </row>
    <row r="22">
      <c r="A22" s="11">
        <v>49.0</v>
      </c>
      <c r="B22" s="13">
        <v>2.0</v>
      </c>
      <c r="C22" s="13">
        <v>1.0</v>
      </c>
      <c r="D22" s="13">
        <v>3.0</v>
      </c>
      <c r="E22" s="13">
        <v>3.0</v>
      </c>
      <c r="F22" s="13">
        <v>2.0</v>
      </c>
      <c r="G22" s="13">
        <v>1.0</v>
      </c>
      <c r="H22" s="13">
        <v>1.0</v>
      </c>
      <c r="I22" s="13">
        <v>2.0</v>
      </c>
      <c r="J22" s="13">
        <v>3.0</v>
      </c>
      <c r="K22" s="13">
        <v>1.0</v>
      </c>
      <c r="L22" s="13">
        <v>2.0</v>
      </c>
      <c r="M22" s="13">
        <v>3.0</v>
      </c>
      <c r="N22" s="13">
        <v>2.0</v>
      </c>
      <c r="O22" s="13">
        <v>1.0</v>
      </c>
      <c r="P22" s="13">
        <v>3.0</v>
      </c>
      <c r="Q22" s="13">
        <v>3.0</v>
      </c>
      <c r="R22" s="13">
        <v>2.0</v>
      </c>
      <c r="S22" s="13">
        <v>1.0</v>
      </c>
      <c r="T22" s="13">
        <v>2.0</v>
      </c>
      <c r="U22" s="13">
        <v>1.0</v>
      </c>
      <c r="V22" s="13">
        <v>3.0</v>
      </c>
      <c r="W22" s="13">
        <v>2.0</v>
      </c>
      <c r="X22" s="13">
        <v>1.0</v>
      </c>
      <c r="Y22" s="13">
        <v>3.0</v>
      </c>
    </row>
    <row r="23">
      <c r="A23" s="11">
        <v>50.0</v>
      </c>
      <c r="B23" s="13">
        <v>2.0</v>
      </c>
      <c r="C23" s="13">
        <v>1.0</v>
      </c>
      <c r="D23" s="13">
        <v>3.0</v>
      </c>
      <c r="E23" s="13">
        <v>3.0</v>
      </c>
      <c r="F23" s="13">
        <v>2.0</v>
      </c>
      <c r="G23" s="13">
        <v>1.0</v>
      </c>
      <c r="H23" s="13">
        <v>1.0</v>
      </c>
      <c r="I23" s="13">
        <v>2.0</v>
      </c>
      <c r="J23" s="13">
        <v>3.0</v>
      </c>
      <c r="K23" s="13">
        <v>1.0</v>
      </c>
      <c r="L23" s="13">
        <v>2.0</v>
      </c>
      <c r="M23" s="13">
        <v>3.0</v>
      </c>
      <c r="N23" s="13">
        <v>3.0</v>
      </c>
      <c r="O23" s="13">
        <v>1.0</v>
      </c>
      <c r="P23" s="13">
        <v>2.0</v>
      </c>
      <c r="Q23" s="13">
        <v>2.0</v>
      </c>
      <c r="R23" s="13">
        <v>1.0</v>
      </c>
      <c r="S23" s="13">
        <v>3.0</v>
      </c>
      <c r="T23" s="13">
        <v>2.0</v>
      </c>
      <c r="U23" s="13">
        <v>1.0</v>
      </c>
      <c r="V23" s="13">
        <v>3.0</v>
      </c>
      <c r="W23" s="13">
        <v>2.0</v>
      </c>
      <c r="X23" s="13">
        <v>3.0</v>
      </c>
      <c r="Y23" s="13">
        <v>1.0</v>
      </c>
    </row>
    <row r="24">
      <c r="A24" s="11">
        <v>53.0</v>
      </c>
      <c r="B24" s="13">
        <v>2.0</v>
      </c>
      <c r="C24" s="13">
        <v>1.0</v>
      </c>
      <c r="D24" s="13">
        <v>3.0</v>
      </c>
      <c r="E24" s="13">
        <v>3.0</v>
      </c>
      <c r="F24" s="13">
        <v>2.0</v>
      </c>
      <c r="G24" s="13">
        <v>1.0</v>
      </c>
      <c r="H24" s="13">
        <v>1.0</v>
      </c>
      <c r="I24" s="13">
        <v>2.0</v>
      </c>
      <c r="J24" s="13">
        <v>3.0</v>
      </c>
      <c r="K24" s="13">
        <v>1.0</v>
      </c>
      <c r="L24" s="13">
        <v>2.0</v>
      </c>
      <c r="M24" s="13">
        <v>3.0</v>
      </c>
      <c r="N24" s="13">
        <v>1.0</v>
      </c>
      <c r="O24" s="13">
        <v>3.0</v>
      </c>
      <c r="P24" s="13">
        <v>2.0</v>
      </c>
      <c r="Q24" s="13">
        <v>2.0</v>
      </c>
      <c r="R24" s="13">
        <v>1.0</v>
      </c>
      <c r="S24" s="13">
        <v>3.0</v>
      </c>
      <c r="T24" s="13">
        <v>2.0</v>
      </c>
      <c r="U24" s="13">
        <v>1.0</v>
      </c>
      <c r="V24" s="13">
        <v>3.0</v>
      </c>
      <c r="W24" s="13">
        <v>2.0</v>
      </c>
      <c r="X24" s="13">
        <v>1.0</v>
      </c>
      <c r="Y24" s="13">
        <v>3.0</v>
      </c>
    </row>
    <row r="25">
      <c r="A25" s="11">
        <v>55.0</v>
      </c>
      <c r="B25" s="13">
        <v>2.0</v>
      </c>
      <c r="C25" s="13">
        <v>1.0</v>
      </c>
      <c r="D25" s="13">
        <v>3.0</v>
      </c>
      <c r="E25" s="13">
        <v>2.0</v>
      </c>
      <c r="F25" s="13">
        <v>1.0</v>
      </c>
      <c r="G25" s="13">
        <v>3.0</v>
      </c>
      <c r="H25" s="13">
        <v>1.0</v>
      </c>
      <c r="I25" s="13">
        <v>2.0</v>
      </c>
      <c r="J25" s="13">
        <v>3.0</v>
      </c>
      <c r="K25" s="13">
        <v>1.0</v>
      </c>
      <c r="L25" s="13">
        <v>2.0</v>
      </c>
      <c r="M25" s="13">
        <v>3.0</v>
      </c>
      <c r="N25" s="13">
        <v>2.0</v>
      </c>
      <c r="O25" s="13">
        <v>1.0</v>
      </c>
      <c r="P25" s="13">
        <v>3.0</v>
      </c>
      <c r="Q25" s="13">
        <v>2.0</v>
      </c>
      <c r="R25" s="13">
        <v>1.0</v>
      </c>
      <c r="S25" s="13">
        <v>3.0</v>
      </c>
      <c r="T25" s="13">
        <v>2.0</v>
      </c>
      <c r="U25" s="13">
        <v>1.0</v>
      </c>
      <c r="V25" s="13">
        <v>3.0</v>
      </c>
      <c r="W25" s="13">
        <v>2.0</v>
      </c>
      <c r="X25" s="13">
        <v>1.0</v>
      </c>
      <c r="Y25" s="13">
        <v>3.0</v>
      </c>
    </row>
    <row r="26">
      <c r="A26" s="11">
        <v>56.0</v>
      </c>
      <c r="B26" s="13">
        <v>2.0</v>
      </c>
      <c r="C26" s="13">
        <v>1.0</v>
      </c>
      <c r="D26" s="13">
        <v>3.0</v>
      </c>
      <c r="E26" s="13">
        <v>2.0</v>
      </c>
      <c r="F26" s="13">
        <v>3.0</v>
      </c>
      <c r="G26" s="13">
        <v>1.0</v>
      </c>
      <c r="H26" s="13">
        <v>2.0</v>
      </c>
      <c r="I26" s="13">
        <v>1.0</v>
      </c>
      <c r="J26" s="13">
        <v>3.0</v>
      </c>
      <c r="K26" s="13">
        <v>2.0</v>
      </c>
      <c r="L26" s="13">
        <v>1.0</v>
      </c>
      <c r="M26" s="13">
        <v>3.0</v>
      </c>
      <c r="N26" s="13">
        <v>3.0</v>
      </c>
      <c r="O26" s="13">
        <v>1.0</v>
      </c>
      <c r="P26" s="13">
        <v>2.0</v>
      </c>
      <c r="Q26" s="13">
        <v>2.0</v>
      </c>
      <c r="R26" s="13">
        <v>1.0</v>
      </c>
      <c r="S26" s="13">
        <v>3.0</v>
      </c>
      <c r="T26" s="13">
        <v>2.0</v>
      </c>
      <c r="U26" s="13">
        <v>1.0</v>
      </c>
      <c r="V26" s="13">
        <v>3.0</v>
      </c>
      <c r="W26" s="13">
        <v>1.0</v>
      </c>
      <c r="X26" s="13">
        <v>2.0</v>
      </c>
      <c r="Y26" s="13">
        <v>3.0</v>
      </c>
    </row>
    <row r="27">
      <c r="A27" s="11">
        <v>57.0</v>
      </c>
      <c r="B27" s="13">
        <v>2.0</v>
      </c>
      <c r="C27" s="13">
        <v>1.0</v>
      </c>
      <c r="D27" s="13">
        <v>3.0</v>
      </c>
      <c r="E27" s="13">
        <v>3.0</v>
      </c>
      <c r="F27" s="13">
        <v>2.0</v>
      </c>
      <c r="G27" s="13">
        <v>1.0</v>
      </c>
      <c r="H27" s="13">
        <v>1.0</v>
      </c>
      <c r="I27" s="13">
        <v>2.0</v>
      </c>
      <c r="J27" s="13">
        <v>3.0</v>
      </c>
      <c r="K27" s="13">
        <v>1.0</v>
      </c>
      <c r="L27" s="13">
        <v>3.0</v>
      </c>
      <c r="M27" s="13">
        <v>2.0</v>
      </c>
      <c r="N27" s="13">
        <v>2.0</v>
      </c>
      <c r="O27" s="13">
        <v>1.0</v>
      </c>
      <c r="P27" s="13">
        <v>3.0</v>
      </c>
      <c r="Q27" s="13">
        <v>2.0</v>
      </c>
      <c r="R27" s="13">
        <v>3.0</v>
      </c>
      <c r="S27" s="13">
        <v>1.0</v>
      </c>
      <c r="T27" s="13">
        <v>2.0</v>
      </c>
      <c r="U27" s="13">
        <v>1.0</v>
      </c>
      <c r="V27" s="13">
        <v>3.0</v>
      </c>
      <c r="W27" s="13">
        <v>2.0</v>
      </c>
      <c r="X27" s="13">
        <v>3.0</v>
      </c>
      <c r="Y27" s="13">
        <v>1.0</v>
      </c>
    </row>
    <row r="28">
      <c r="A28" s="11">
        <v>60.0</v>
      </c>
      <c r="B28" s="13">
        <v>1.0</v>
      </c>
      <c r="C28" s="13">
        <v>2.0</v>
      </c>
      <c r="D28" s="13">
        <v>3.0</v>
      </c>
      <c r="E28" s="13">
        <v>3.0</v>
      </c>
      <c r="F28" s="13">
        <v>2.0</v>
      </c>
      <c r="G28" s="13">
        <v>1.0</v>
      </c>
      <c r="H28" s="13">
        <v>1.0</v>
      </c>
      <c r="I28" s="13">
        <v>2.0</v>
      </c>
      <c r="J28" s="13">
        <v>3.0</v>
      </c>
      <c r="K28" s="33"/>
      <c r="L28" s="33"/>
      <c r="M28" s="33"/>
      <c r="N28" s="33"/>
      <c r="O28" s="33"/>
      <c r="P28" s="33"/>
      <c r="Q28" s="33"/>
      <c r="R28" s="33"/>
      <c r="S28" s="33"/>
      <c r="T28" s="33"/>
      <c r="U28" s="33"/>
      <c r="V28" s="33"/>
      <c r="W28" s="33"/>
      <c r="X28" s="33"/>
      <c r="Y28" s="33"/>
    </row>
    <row r="29">
      <c r="A29" s="11">
        <v>61.0</v>
      </c>
      <c r="B29" s="13">
        <v>2.0</v>
      </c>
      <c r="C29" s="13">
        <v>1.0</v>
      </c>
      <c r="D29" s="13">
        <v>3.0</v>
      </c>
      <c r="E29" s="13">
        <v>3.0</v>
      </c>
      <c r="F29" s="13">
        <v>2.0</v>
      </c>
      <c r="G29" s="13">
        <v>1.0</v>
      </c>
      <c r="H29" s="13">
        <v>1.0</v>
      </c>
      <c r="I29" s="13">
        <v>2.0</v>
      </c>
      <c r="J29" s="13">
        <v>3.0</v>
      </c>
      <c r="K29" s="13">
        <v>1.0</v>
      </c>
      <c r="L29" s="13">
        <v>2.0</v>
      </c>
      <c r="M29" s="13">
        <v>3.0</v>
      </c>
      <c r="N29" s="13">
        <v>1.0</v>
      </c>
      <c r="O29" s="13">
        <v>2.0</v>
      </c>
      <c r="P29" s="13">
        <v>3.0</v>
      </c>
      <c r="Q29" s="13">
        <v>2.0</v>
      </c>
      <c r="R29" s="13">
        <v>1.0</v>
      </c>
      <c r="S29" s="13">
        <v>3.0</v>
      </c>
      <c r="T29" s="13">
        <v>2.0</v>
      </c>
      <c r="U29" s="13">
        <v>3.0</v>
      </c>
      <c r="V29" s="13">
        <v>1.0</v>
      </c>
      <c r="W29" s="13">
        <v>2.0</v>
      </c>
      <c r="X29" s="13">
        <v>3.0</v>
      </c>
      <c r="Y29" s="13">
        <v>1.0</v>
      </c>
    </row>
    <row r="30">
      <c r="A30" s="11">
        <v>63.0</v>
      </c>
      <c r="B30" s="13">
        <v>2.0</v>
      </c>
      <c r="C30" s="13">
        <v>3.0</v>
      </c>
      <c r="D30" s="13">
        <v>1.0</v>
      </c>
      <c r="E30" s="13">
        <v>3.0</v>
      </c>
      <c r="F30" s="13">
        <v>1.0</v>
      </c>
      <c r="G30" s="13">
        <v>2.0</v>
      </c>
      <c r="H30" s="13">
        <v>2.0</v>
      </c>
      <c r="I30" s="13">
        <v>3.0</v>
      </c>
      <c r="J30" s="13">
        <v>1.0</v>
      </c>
      <c r="K30" s="13">
        <v>1.0</v>
      </c>
      <c r="L30" s="13">
        <v>2.0</v>
      </c>
      <c r="M30" s="13">
        <v>3.0</v>
      </c>
      <c r="N30" s="13">
        <v>1.0</v>
      </c>
      <c r="O30" s="13">
        <v>2.0</v>
      </c>
      <c r="P30" s="13">
        <v>3.0</v>
      </c>
      <c r="Q30" s="13">
        <v>2.0</v>
      </c>
      <c r="R30" s="13">
        <v>1.0</v>
      </c>
      <c r="S30" s="13">
        <v>3.0</v>
      </c>
      <c r="T30" s="13">
        <v>2.0</v>
      </c>
      <c r="U30" s="13">
        <v>3.0</v>
      </c>
      <c r="V30" s="13">
        <v>1.0</v>
      </c>
      <c r="W30" s="13">
        <v>2.0</v>
      </c>
      <c r="X30" s="13">
        <v>1.0</v>
      </c>
      <c r="Y30" s="13">
        <v>3.0</v>
      </c>
    </row>
    <row r="31">
      <c r="A31" s="11">
        <v>65.0</v>
      </c>
      <c r="B31" s="13">
        <v>2.0</v>
      </c>
      <c r="C31" s="13">
        <v>1.0</v>
      </c>
      <c r="D31" s="13">
        <v>3.0</v>
      </c>
      <c r="E31" s="13">
        <v>3.0</v>
      </c>
      <c r="F31" s="13">
        <v>2.0</v>
      </c>
      <c r="G31" s="13">
        <v>1.0</v>
      </c>
      <c r="H31" s="13">
        <v>1.0</v>
      </c>
      <c r="I31" s="13">
        <v>2.0</v>
      </c>
      <c r="J31" s="13">
        <v>3.0</v>
      </c>
      <c r="K31" s="13">
        <v>1.0</v>
      </c>
      <c r="L31" s="13">
        <v>2.0</v>
      </c>
      <c r="M31" s="13">
        <v>3.0</v>
      </c>
      <c r="N31" s="13">
        <v>2.0</v>
      </c>
      <c r="O31" s="13">
        <v>1.0</v>
      </c>
      <c r="P31" s="13">
        <v>3.0</v>
      </c>
      <c r="Q31" s="13">
        <v>3.0</v>
      </c>
      <c r="R31" s="13">
        <v>2.0</v>
      </c>
      <c r="S31" s="13">
        <v>1.0</v>
      </c>
      <c r="T31" s="13">
        <v>1.0</v>
      </c>
      <c r="U31" s="13">
        <v>2.0</v>
      </c>
      <c r="V31" s="13">
        <v>3.0</v>
      </c>
      <c r="W31" s="13">
        <v>1.0</v>
      </c>
      <c r="X31" s="13">
        <v>2.0</v>
      </c>
      <c r="Y31" s="13">
        <v>3.0</v>
      </c>
    </row>
    <row r="32">
      <c r="A32" s="11">
        <v>68.0</v>
      </c>
      <c r="B32" s="13">
        <v>2.0</v>
      </c>
      <c r="C32" s="13">
        <v>1.0</v>
      </c>
      <c r="D32" s="13">
        <v>3.0</v>
      </c>
      <c r="E32" s="13">
        <v>3.0</v>
      </c>
      <c r="F32" s="13">
        <v>1.0</v>
      </c>
      <c r="G32" s="13">
        <v>2.0</v>
      </c>
      <c r="H32" s="13">
        <v>1.0</v>
      </c>
      <c r="I32" s="13">
        <v>2.0</v>
      </c>
      <c r="J32" s="13">
        <v>3.0</v>
      </c>
      <c r="K32" s="13">
        <v>2.0</v>
      </c>
      <c r="L32" s="13">
        <v>1.0</v>
      </c>
      <c r="M32" s="13">
        <v>3.0</v>
      </c>
      <c r="N32" s="13">
        <v>1.0</v>
      </c>
      <c r="O32" s="13">
        <v>3.0</v>
      </c>
      <c r="P32" s="13">
        <v>2.0</v>
      </c>
      <c r="Q32" s="13">
        <v>2.0</v>
      </c>
      <c r="R32" s="13">
        <v>1.0</v>
      </c>
      <c r="S32" s="13">
        <v>3.0</v>
      </c>
      <c r="T32" s="13">
        <v>3.0</v>
      </c>
      <c r="U32" s="13">
        <v>2.0</v>
      </c>
      <c r="V32" s="13">
        <v>1.0</v>
      </c>
      <c r="W32" s="13">
        <v>2.0</v>
      </c>
      <c r="X32" s="13">
        <v>1.0</v>
      </c>
      <c r="Y32" s="13">
        <v>3.0</v>
      </c>
    </row>
    <row r="33">
      <c r="A33" s="11">
        <v>74.0</v>
      </c>
      <c r="B33" s="13">
        <v>2.0</v>
      </c>
      <c r="C33" s="13">
        <v>3.0</v>
      </c>
      <c r="D33" s="13">
        <v>1.0</v>
      </c>
      <c r="E33" s="13">
        <v>2.0</v>
      </c>
      <c r="F33" s="13">
        <v>3.0</v>
      </c>
      <c r="G33" s="13">
        <v>1.0</v>
      </c>
      <c r="H33" s="13">
        <v>1.0</v>
      </c>
      <c r="I33" s="13">
        <v>2.0</v>
      </c>
      <c r="J33" s="13">
        <v>3.0</v>
      </c>
      <c r="K33" s="13">
        <v>2.0</v>
      </c>
      <c r="L33" s="13">
        <v>3.0</v>
      </c>
      <c r="M33" s="13">
        <v>1.0</v>
      </c>
      <c r="N33" s="13">
        <v>2.0</v>
      </c>
      <c r="O33" s="13">
        <v>3.0</v>
      </c>
      <c r="P33" s="13">
        <v>1.0</v>
      </c>
      <c r="Q33" s="13">
        <v>2.0</v>
      </c>
      <c r="R33" s="13">
        <v>1.0</v>
      </c>
      <c r="S33" s="13">
        <v>3.0</v>
      </c>
      <c r="T33" s="13">
        <v>2.0</v>
      </c>
      <c r="U33" s="13">
        <v>3.0</v>
      </c>
      <c r="V33" s="13">
        <v>1.0</v>
      </c>
      <c r="W33" s="13">
        <v>2.0</v>
      </c>
      <c r="X33" s="13">
        <v>3.0</v>
      </c>
      <c r="Y33" s="13">
        <v>1.0</v>
      </c>
    </row>
    <row r="34">
      <c r="A34" s="11">
        <v>76.0</v>
      </c>
      <c r="B34" s="13">
        <v>2.0</v>
      </c>
      <c r="C34" s="13">
        <v>1.0</v>
      </c>
      <c r="D34" s="13">
        <v>3.0</v>
      </c>
      <c r="E34" s="13">
        <v>3.0</v>
      </c>
      <c r="F34" s="13">
        <v>2.0</v>
      </c>
      <c r="G34" s="13">
        <v>1.0</v>
      </c>
      <c r="H34" s="13">
        <v>1.0</v>
      </c>
      <c r="I34" s="13">
        <v>2.0</v>
      </c>
      <c r="J34" s="13">
        <v>3.0</v>
      </c>
      <c r="K34" s="13">
        <v>1.0</v>
      </c>
      <c r="L34" s="13">
        <v>2.0</v>
      </c>
      <c r="M34" s="13">
        <v>3.0</v>
      </c>
      <c r="N34" s="13">
        <v>1.0</v>
      </c>
      <c r="O34" s="13">
        <v>3.0</v>
      </c>
      <c r="P34" s="13">
        <v>2.0</v>
      </c>
      <c r="Q34" s="13">
        <v>1.0</v>
      </c>
      <c r="R34" s="13">
        <v>2.0</v>
      </c>
      <c r="S34" s="13">
        <v>3.0</v>
      </c>
      <c r="T34" s="13">
        <v>2.0</v>
      </c>
      <c r="U34" s="13">
        <v>3.0</v>
      </c>
      <c r="V34" s="13">
        <v>1.0</v>
      </c>
      <c r="W34" s="13">
        <v>2.0</v>
      </c>
      <c r="X34" s="13">
        <v>3.0</v>
      </c>
      <c r="Y34" s="13">
        <v>1.0</v>
      </c>
    </row>
    <row r="35">
      <c r="A35" s="11">
        <v>77.0</v>
      </c>
      <c r="B35" s="13">
        <v>2.0</v>
      </c>
      <c r="C35" s="13">
        <v>1.0</v>
      </c>
      <c r="D35" s="13">
        <v>3.0</v>
      </c>
      <c r="E35" s="13">
        <v>3.0</v>
      </c>
      <c r="F35" s="13">
        <v>2.0</v>
      </c>
      <c r="G35" s="13">
        <v>1.0</v>
      </c>
      <c r="H35" s="13">
        <v>1.0</v>
      </c>
      <c r="I35" s="13">
        <v>2.0</v>
      </c>
      <c r="J35" s="13">
        <v>3.0</v>
      </c>
      <c r="K35" s="13">
        <v>1.0</v>
      </c>
      <c r="L35" s="13">
        <v>2.0</v>
      </c>
      <c r="M35" s="13">
        <v>3.0</v>
      </c>
      <c r="N35" s="13">
        <v>3.0</v>
      </c>
      <c r="O35" s="13">
        <v>1.0</v>
      </c>
      <c r="P35" s="13">
        <v>2.0</v>
      </c>
      <c r="Q35" s="13">
        <v>1.0</v>
      </c>
      <c r="R35" s="13">
        <v>2.0</v>
      </c>
      <c r="S35" s="13">
        <v>3.0</v>
      </c>
      <c r="T35" s="13">
        <v>3.0</v>
      </c>
      <c r="U35" s="13">
        <v>2.0</v>
      </c>
      <c r="V35" s="13">
        <v>1.0</v>
      </c>
      <c r="W35" s="13">
        <v>3.0</v>
      </c>
      <c r="X35" s="13">
        <v>2.0</v>
      </c>
      <c r="Y35" s="13">
        <v>1.0</v>
      </c>
    </row>
    <row r="36">
      <c r="A36" s="11">
        <v>78.0</v>
      </c>
      <c r="B36" s="13">
        <v>2.0</v>
      </c>
      <c r="C36" s="13">
        <v>1.0</v>
      </c>
      <c r="D36" s="13">
        <v>3.0</v>
      </c>
      <c r="E36" s="13">
        <v>3.0</v>
      </c>
      <c r="F36" s="13">
        <v>2.0</v>
      </c>
      <c r="G36" s="13">
        <v>1.0</v>
      </c>
      <c r="H36" s="13">
        <v>1.0</v>
      </c>
      <c r="I36" s="13">
        <v>2.0</v>
      </c>
      <c r="J36" s="13">
        <v>3.0</v>
      </c>
      <c r="K36" s="13">
        <v>1.0</v>
      </c>
      <c r="L36" s="13">
        <v>3.0</v>
      </c>
      <c r="M36" s="13">
        <v>2.0</v>
      </c>
      <c r="N36" s="13">
        <v>1.0</v>
      </c>
      <c r="O36" s="13">
        <v>2.0</v>
      </c>
      <c r="P36" s="13">
        <v>3.0</v>
      </c>
      <c r="Q36" s="13">
        <v>2.0</v>
      </c>
      <c r="R36" s="13">
        <v>3.0</v>
      </c>
      <c r="S36" s="13">
        <v>1.0</v>
      </c>
      <c r="T36" s="13">
        <v>2.0</v>
      </c>
      <c r="U36" s="13">
        <v>3.0</v>
      </c>
      <c r="V36" s="13">
        <v>1.0</v>
      </c>
      <c r="W36" s="13">
        <v>2.0</v>
      </c>
      <c r="X36" s="13">
        <v>3.0</v>
      </c>
      <c r="Y36" s="13">
        <v>1.0</v>
      </c>
    </row>
    <row r="37">
      <c r="A37" s="11">
        <v>79.0</v>
      </c>
      <c r="B37" s="13">
        <v>2.0</v>
      </c>
      <c r="C37" s="13">
        <v>1.0</v>
      </c>
      <c r="D37" s="13">
        <v>3.0</v>
      </c>
      <c r="E37" s="13">
        <v>3.0</v>
      </c>
      <c r="F37" s="13">
        <v>2.0</v>
      </c>
      <c r="G37" s="13">
        <v>1.0</v>
      </c>
      <c r="H37" s="13">
        <v>1.0</v>
      </c>
      <c r="I37" s="13">
        <v>2.0</v>
      </c>
      <c r="J37" s="13">
        <v>3.0</v>
      </c>
      <c r="K37" s="13">
        <v>1.0</v>
      </c>
      <c r="L37" s="13">
        <v>2.0</v>
      </c>
      <c r="M37" s="13">
        <v>3.0</v>
      </c>
      <c r="N37" s="13">
        <v>1.0</v>
      </c>
      <c r="O37" s="13">
        <v>3.0</v>
      </c>
      <c r="P37" s="13">
        <v>2.0</v>
      </c>
      <c r="Q37" s="13">
        <v>2.0</v>
      </c>
      <c r="R37" s="13">
        <v>1.0</v>
      </c>
      <c r="S37" s="13">
        <v>3.0</v>
      </c>
      <c r="T37" s="13">
        <v>2.0</v>
      </c>
      <c r="U37" s="13">
        <v>3.0</v>
      </c>
      <c r="V37" s="13">
        <v>1.0</v>
      </c>
      <c r="W37" s="13">
        <v>2.0</v>
      </c>
      <c r="X37" s="13">
        <v>3.0</v>
      </c>
      <c r="Y37" s="13">
        <v>1.0</v>
      </c>
    </row>
    <row r="38">
      <c r="A38" s="11">
        <v>80.0</v>
      </c>
      <c r="B38" s="13">
        <v>2.0</v>
      </c>
      <c r="C38" s="13">
        <v>1.0</v>
      </c>
      <c r="D38" s="13">
        <v>3.0</v>
      </c>
      <c r="E38" s="13">
        <v>2.0</v>
      </c>
      <c r="F38" s="13">
        <v>3.0</v>
      </c>
      <c r="G38" s="13">
        <v>1.0</v>
      </c>
      <c r="H38" s="13">
        <v>1.0</v>
      </c>
      <c r="I38" s="13">
        <v>2.0</v>
      </c>
      <c r="J38" s="13">
        <v>3.0</v>
      </c>
      <c r="K38" s="13">
        <v>1.0</v>
      </c>
      <c r="L38" s="13">
        <v>2.0</v>
      </c>
      <c r="M38" s="13">
        <v>3.0</v>
      </c>
      <c r="N38" s="13">
        <v>1.0</v>
      </c>
      <c r="O38" s="13">
        <v>3.0</v>
      </c>
      <c r="P38" s="13">
        <v>2.0</v>
      </c>
      <c r="Q38" s="13">
        <v>1.0</v>
      </c>
      <c r="R38" s="13">
        <v>2.0</v>
      </c>
      <c r="S38" s="13">
        <v>3.0</v>
      </c>
      <c r="T38" s="13">
        <v>2.0</v>
      </c>
      <c r="U38" s="13">
        <v>1.0</v>
      </c>
      <c r="V38" s="13">
        <v>3.0</v>
      </c>
      <c r="W38" s="13">
        <v>2.0</v>
      </c>
      <c r="X38" s="13">
        <v>3.0</v>
      </c>
      <c r="Y38" s="13">
        <v>1.0</v>
      </c>
    </row>
    <row r="39">
      <c r="A39" s="11">
        <v>81.0</v>
      </c>
      <c r="B39" s="13">
        <v>2.0</v>
      </c>
      <c r="C39" s="13">
        <v>3.0</v>
      </c>
      <c r="D39" s="13">
        <v>1.0</v>
      </c>
      <c r="E39" s="13">
        <v>3.0</v>
      </c>
      <c r="F39" s="13">
        <v>2.0</v>
      </c>
      <c r="G39" s="13">
        <v>1.0</v>
      </c>
      <c r="H39" s="13">
        <v>1.0</v>
      </c>
      <c r="I39" s="13">
        <v>2.0</v>
      </c>
      <c r="J39" s="13">
        <v>3.0</v>
      </c>
      <c r="K39" s="13">
        <v>1.0</v>
      </c>
      <c r="L39" s="13">
        <v>2.0</v>
      </c>
      <c r="M39" s="13">
        <v>3.0</v>
      </c>
      <c r="N39" s="13">
        <v>3.0</v>
      </c>
      <c r="O39" s="13">
        <v>2.0</v>
      </c>
      <c r="P39" s="13">
        <v>1.0</v>
      </c>
      <c r="Q39" s="13">
        <v>1.0</v>
      </c>
      <c r="R39" s="13">
        <v>2.0</v>
      </c>
      <c r="S39" s="13">
        <v>3.0</v>
      </c>
      <c r="T39" s="13">
        <v>2.0</v>
      </c>
      <c r="U39" s="13">
        <v>3.0</v>
      </c>
      <c r="V39" s="13">
        <v>1.0</v>
      </c>
      <c r="W39" s="13">
        <v>2.0</v>
      </c>
      <c r="X39" s="13">
        <v>3.0</v>
      </c>
      <c r="Y39" s="13">
        <v>1.0</v>
      </c>
    </row>
    <row r="40">
      <c r="A40" s="11">
        <v>82.0</v>
      </c>
      <c r="B40" s="13">
        <v>2.0</v>
      </c>
      <c r="C40" s="13">
        <v>1.0</v>
      </c>
      <c r="D40" s="13">
        <v>3.0</v>
      </c>
      <c r="E40" s="13">
        <v>3.0</v>
      </c>
      <c r="F40" s="13">
        <v>2.0</v>
      </c>
      <c r="G40" s="13">
        <v>1.0</v>
      </c>
      <c r="H40" s="13">
        <v>2.0</v>
      </c>
      <c r="I40" s="13">
        <v>1.0</v>
      </c>
      <c r="J40" s="13">
        <v>3.0</v>
      </c>
      <c r="K40" s="13">
        <v>1.0</v>
      </c>
      <c r="L40" s="13">
        <v>2.0</v>
      </c>
      <c r="M40" s="13">
        <v>3.0</v>
      </c>
      <c r="N40" s="13">
        <v>2.0</v>
      </c>
      <c r="O40" s="13">
        <v>1.0</v>
      </c>
      <c r="P40" s="13">
        <v>3.0</v>
      </c>
      <c r="Q40" s="13">
        <v>2.0</v>
      </c>
      <c r="R40" s="13">
        <v>3.0</v>
      </c>
      <c r="S40" s="13">
        <v>1.0</v>
      </c>
      <c r="T40" s="13">
        <v>2.0</v>
      </c>
      <c r="U40" s="13">
        <v>1.0</v>
      </c>
      <c r="V40" s="13">
        <v>3.0</v>
      </c>
      <c r="W40" s="13">
        <v>1.0</v>
      </c>
      <c r="X40" s="13">
        <v>2.0</v>
      </c>
      <c r="Y40" s="13">
        <v>3.0</v>
      </c>
    </row>
    <row r="41">
      <c r="A41" s="11">
        <v>83.0</v>
      </c>
      <c r="B41" s="13">
        <v>2.0</v>
      </c>
      <c r="C41" s="13">
        <v>1.0</v>
      </c>
      <c r="D41" s="13">
        <v>3.0</v>
      </c>
      <c r="E41" s="13">
        <v>3.0</v>
      </c>
      <c r="F41" s="13">
        <v>2.0</v>
      </c>
      <c r="G41" s="13">
        <v>1.0</v>
      </c>
      <c r="H41" s="13">
        <v>1.0</v>
      </c>
      <c r="I41" s="13">
        <v>2.0</v>
      </c>
      <c r="J41" s="13">
        <v>3.0</v>
      </c>
      <c r="K41" s="13">
        <v>1.0</v>
      </c>
      <c r="L41" s="13">
        <v>2.0</v>
      </c>
      <c r="M41" s="13">
        <v>3.0</v>
      </c>
      <c r="N41" s="13">
        <v>3.0</v>
      </c>
      <c r="O41" s="13">
        <v>1.0</v>
      </c>
      <c r="P41" s="13">
        <v>2.0</v>
      </c>
      <c r="Q41" s="13">
        <v>2.0</v>
      </c>
      <c r="R41" s="13">
        <v>1.0</v>
      </c>
      <c r="S41" s="13">
        <v>3.0</v>
      </c>
      <c r="T41" s="13">
        <v>2.0</v>
      </c>
      <c r="U41" s="13">
        <v>3.0</v>
      </c>
      <c r="V41" s="13">
        <v>1.0</v>
      </c>
      <c r="W41" s="13">
        <v>2.0</v>
      </c>
      <c r="X41" s="13">
        <v>3.0</v>
      </c>
      <c r="Y41" s="13">
        <v>1.0</v>
      </c>
    </row>
    <row r="42">
      <c r="A42" s="11">
        <v>84.0</v>
      </c>
      <c r="B42" s="13">
        <v>2.0</v>
      </c>
      <c r="C42" s="13">
        <v>1.0</v>
      </c>
      <c r="D42" s="13">
        <v>3.0</v>
      </c>
      <c r="E42" s="13">
        <v>3.0</v>
      </c>
      <c r="F42" s="13">
        <v>2.0</v>
      </c>
      <c r="G42" s="13">
        <v>1.0</v>
      </c>
      <c r="H42" s="13">
        <v>1.0</v>
      </c>
      <c r="I42" s="13">
        <v>2.0</v>
      </c>
      <c r="J42" s="13">
        <v>3.0</v>
      </c>
      <c r="K42" s="13">
        <v>1.0</v>
      </c>
      <c r="L42" s="13">
        <v>2.0</v>
      </c>
      <c r="M42" s="13">
        <v>3.0</v>
      </c>
      <c r="N42" s="13">
        <v>1.0</v>
      </c>
      <c r="O42" s="13">
        <v>3.0</v>
      </c>
      <c r="P42" s="13">
        <v>2.0</v>
      </c>
      <c r="Q42" s="13">
        <v>2.0</v>
      </c>
      <c r="R42" s="13">
        <v>3.0</v>
      </c>
      <c r="S42" s="13">
        <v>1.0</v>
      </c>
      <c r="T42" s="13">
        <v>2.0</v>
      </c>
      <c r="U42" s="13">
        <v>3.0</v>
      </c>
      <c r="V42" s="13">
        <v>1.0</v>
      </c>
      <c r="W42" s="13">
        <v>2.0</v>
      </c>
      <c r="X42" s="13">
        <v>3.0</v>
      </c>
      <c r="Y42" s="13">
        <v>1.0</v>
      </c>
    </row>
    <row r="43">
      <c r="A43" s="11">
        <v>87.0</v>
      </c>
      <c r="B43" s="13">
        <v>2.0</v>
      </c>
      <c r="C43" s="13">
        <v>3.0</v>
      </c>
      <c r="D43" s="13">
        <v>1.0</v>
      </c>
      <c r="E43" s="13">
        <v>3.0</v>
      </c>
      <c r="F43" s="13">
        <v>2.0</v>
      </c>
      <c r="G43" s="13">
        <v>1.0</v>
      </c>
      <c r="H43" s="13">
        <v>1.0</v>
      </c>
      <c r="I43" s="13">
        <v>2.0</v>
      </c>
      <c r="J43" s="13">
        <v>3.0</v>
      </c>
      <c r="K43" s="13">
        <v>1.0</v>
      </c>
      <c r="L43" s="13">
        <v>2.0</v>
      </c>
      <c r="M43" s="13">
        <v>3.0</v>
      </c>
      <c r="N43" s="13">
        <v>2.0</v>
      </c>
      <c r="O43" s="13">
        <v>1.0</v>
      </c>
      <c r="P43" s="13">
        <v>3.0</v>
      </c>
      <c r="Q43" s="13">
        <v>3.0</v>
      </c>
      <c r="R43" s="13">
        <v>2.0</v>
      </c>
      <c r="S43" s="13">
        <v>1.0</v>
      </c>
      <c r="T43" s="13">
        <v>1.0</v>
      </c>
      <c r="U43" s="13">
        <v>2.0</v>
      </c>
      <c r="V43" s="13">
        <v>3.0</v>
      </c>
      <c r="W43" s="13">
        <v>1.0</v>
      </c>
      <c r="X43" s="13">
        <v>2.0</v>
      </c>
      <c r="Y43" s="13">
        <v>3.0</v>
      </c>
    </row>
    <row r="44">
      <c r="A44" s="11">
        <v>88.0</v>
      </c>
      <c r="B44" s="13">
        <v>2.0</v>
      </c>
      <c r="C44" s="13">
        <v>1.0</v>
      </c>
      <c r="D44" s="13">
        <v>3.0</v>
      </c>
      <c r="E44" s="13">
        <v>3.0</v>
      </c>
      <c r="F44" s="13">
        <v>2.0</v>
      </c>
      <c r="G44" s="13">
        <v>1.0</v>
      </c>
      <c r="H44" s="13">
        <v>1.0</v>
      </c>
      <c r="I44" s="13">
        <v>2.0</v>
      </c>
      <c r="J44" s="13">
        <v>3.0</v>
      </c>
      <c r="K44" s="13">
        <v>1.0</v>
      </c>
      <c r="L44" s="13">
        <v>2.0</v>
      </c>
      <c r="M44" s="13">
        <v>3.0</v>
      </c>
      <c r="N44" s="13">
        <v>3.0</v>
      </c>
      <c r="O44" s="13">
        <v>1.0</v>
      </c>
      <c r="P44" s="13">
        <v>2.0</v>
      </c>
      <c r="Q44" s="13">
        <v>2.0</v>
      </c>
      <c r="R44" s="13">
        <v>1.0</v>
      </c>
      <c r="S44" s="13">
        <v>3.0</v>
      </c>
      <c r="T44" s="13">
        <v>2.0</v>
      </c>
      <c r="U44" s="13">
        <v>3.0</v>
      </c>
      <c r="V44" s="13">
        <v>1.0</v>
      </c>
      <c r="W44" s="13">
        <v>2.0</v>
      </c>
      <c r="X44" s="13">
        <v>3.0</v>
      </c>
      <c r="Y44" s="13">
        <v>1.0</v>
      </c>
    </row>
    <row r="45">
      <c r="A45" s="11">
        <v>89.0</v>
      </c>
      <c r="B45" s="13">
        <v>2.0</v>
      </c>
      <c r="C45" s="13">
        <v>1.0</v>
      </c>
      <c r="D45" s="13">
        <v>3.0</v>
      </c>
      <c r="E45" s="13">
        <v>3.0</v>
      </c>
      <c r="F45" s="13">
        <v>2.0</v>
      </c>
      <c r="G45" s="13">
        <v>1.0</v>
      </c>
      <c r="H45" s="13">
        <v>1.0</v>
      </c>
      <c r="I45" s="13">
        <v>2.0</v>
      </c>
      <c r="J45" s="13">
        <v>3.0</v>
      </c>
      <c r="K45" s="13">
        <v>1.0</v>
      </c>
      <c r="L45" s="13">
        <v>2.0</v>
      </c>
      <c r="M45" s="13">
        <v>3.0</v>
      </c>
      <c r="N45" s="13">
        <v>3.0</v>
      </c>
      <c r="O45" s="13">
        <v>1.0</v>
      </c>
      <c r="P45" s="13">
        <v>2.0</v>
      </c>
      <c r="Q45" s="13">
        <v>1.0</v>
      </c>
      <c r="R45" s="13">
        <v>2.0</v>
      </c>
      <c r="S45" s="13">
        <v>3.0</v>
      </c>
      <c r="T45" s="13">
        <v>2.0</v>
      </c>
      <c r="U45" s="13">
        <v>3.0</v>
      </c>
      <c r="V45" s="13">
        <v>1.0</v>
      </c>
      <c r="W45" s="13">
        <v>2.0</v>
      </c>
      <c r="X45" s="13">
        <v>3.0</v>
      </c>
      <c r="Y45" s="13">
        <v>1.0</v>
      </c>
    </row>
    <row r="46">
      <c r="A46" s="11">
        <v>91.0</v>
      </c>
      <c r="B46" s="13">
        <v>2.0</v>
      </c>
      <c r="C46" s="13">
        <v>1.0</v>
      </c>
      <c r="D46" s="13">
        <v>3.0</v>
      </c>
      <c r="E46" s="13">
        <v>2.0</v>
      </c>
      <c r="F46" s="13">
        <v>3.0</v>
      </c>
      <c r="G46" s="13">
        <v>1.0</v>
      </c>
      <c r="H46" s="13">
        <v>2.0</v>
      </c>
      <c r="I46" s="13">
        <v>1.0</v>
      </c>
      <c r="J46" s="13">
        <v>3.0</v>
      </c>
      <c r="K46" s="13">
        <v>1.0</v>
      </c>
      <c r="L46" s="13">
        <v>2.0</v>
      </c>
      <c r="M46" s="13">
        <v>3.0</v>
      </c>
      <c r="N46" s="13">
        <v>1.0</v>
      </c>
      <c r="O46" s="13">
        <v>3.0</v>
      </c>
      <c r="P46" s="13">
        <v>2.0</v>
      </c>
      <c r="Q46" s="13">
        <v>2.0</v>
      </c>
      <c r="R46" s="13">
        <v>3.0</v>
      </c>
      <c r="S46" s="13">
        <v>1.0</v>
      </c>
      <c r="T46" s="13">
        <v>2.0</v>
      </c>
      <c r="U46" s="13">
        <v>3.0</v>
      </c>
      <c r="V46" s="13">
        <v>1.0</v>
      </c>
      <c r="W46" s="13">
        <v>2.0</v>
      </c>
      <c r="X46" s="13">
        <v>3.0</v>
      </c>
      <c r="Y46" s="13">
        <v>1.0</v>
      </c>
    </row>
    <row r="47">
      <c r="A47" s="11">
        <v>93.0</v>
      </c>
      <c r="B47" s="13">
        <v>2.0</v>
      </c>
      <c r="C47" s="13">
        <v>1.0</v>
      </c>
      <c r="D47" s="13">
        <v>3.0</v>
      </c>
      <c r="E47" s="13">
        <v>3.0</v>
      </c>
      <c r="F47" s="13">
        <v>2.0</v>
      </c>
      <c r="G47" s="13">
        <v>1.0</v>
      </c>
      <c r="H47" s="13">
        <v>1.0</v>
      </c>
      <c r="I47" s="13">
        <v>2.0</v>
      </c>
      <c r="J47" s="13">
        <v>3.0</v>
      </c>
      <c r="K47" s="13">
        <v>1.0</v>
      </c>
      <c r="L47" s="13">
        <v>2.0</v>
      </c>
      <c r="M47" s="13">
        <v>3.0</v>
      </c>
      <c r="N47" s="13">
        <v>1.0</v>
      </c>
      <c r="O47" s="13">
        <v>3.0</v>
      </c>
      <c r="P47" s="13">
        <v>2.0</v>
      </c>
      <c r="Q47" s="13">
        <v>3.0</v>
      </c>
      <c r="R47" s="13">
        <v>2.0</v>
      </c>
      <c r="S47" s="13">
        <v>1.0</v>
      </c>
      <c r="T47" s="13">
        <v>2.0</v>
      </c>
      <c r="U47" s="13">
        <v>1.0</v>
      </c>
      <c r="V47" s="13">
        <v>3.0</v>
      </c>
      <c r="W47" s="13">
        <v>2.0</v>
      </c>
      <c r="X47" s="13">
        <v>3.0</v>
      </c>
      <c r="Y47" s="13">
        <v>1.0</v>
      </c>
    </row>
    <row r="48">
      <c r="A48" s="11">
        <v>95.0</v>
      </c>
      <c r="B48" s="13">
        <v>2.0</v>
      </c>
      <c r="C48" s="13">
        <v>3.0</v>
      </c>
      <c r="D48" s="13">
        <v>1.0</v>
      </c>
      <c r="E48" s="13">
        <v>3.0</v>
      </c>
      <c r="F48" s="13">
        <v>1.0</v>
      </c>
      <c r="G48" s="13">
        <v>2.0</v>
      </c>
      <c r="H48" s="13">
        <v>1.0</v>
      </c>
      <c r="I48" s="13">
        <v>2.0</v>
      </c>
      <c r="J48" s="13">
        <v>3.0</v>
      </c>
      <c r="K48" s="13">
        <v>1.0</v>
      </c>
      <c r="L48" s="13">
        <v>2.0</v>
      </c>
      <c r="M48" s="13">
        <v>3.0</v>
      </c>
      <c r="N48" s="13">
        <v>3.0</v>
      </c>
      <c r="O48" s="13">
        <v>2.0</v>
      </c>
      <c r="P48" s="13">
        <v>1.0</v>
      </c>
      <c r="Q48" s="13">
        <v>3.0</v>
      </c>
      <c r="R48" s="13">
        <v>2.0</v>
      </c>
      <c r="S48" s="13">
        <v>1.0</v>
      </c>
      <c r="T48" s="13">
        <v>2.0</v>
      </c>
      <c r="U48" s="13">
        <v>3.0</v>
      </c>
      <c r="V48" s="13">
        <v>1.0</v>
      </c>
      <c r="W48" s="13">
        <v>2.0</v>
      </c>
      <c r="X48" s="13">
        <v>1.0</v>
      </c>
      <c r="Y48" s="13">
        <v>3.0</v>
      </c>
    </row>
    <row r="49">
      <c r="A49" s="11">
        <v>97.0</v>
      </c>
      <c r="B49" s="13">
        <v>2.0</v>
      </c>
      <c r="C49" s="13">
        <v>1.0</v>
      </c>
      <c r="D49" s="13">
        <v>3.0</v>
      </c>
      <c r="E49" s="13">
        <v>3.0</v>
      </c>
      <c r="F49" s="13">
        <v>2.0</v>
      </c>
      <c r="G49" s="13">
        <v>1.0</v>
      </c>
      <c r="H49" s="13">
        <v>1.0</v>
      </c>
      <c r="I49" s="13">
        <v>2.0</v>
      </c>
      <c r="J49" s="13">
        <v>3.0</v>
      </c>
      <c r="K49" s="13">
        <v>1.0</v>
      </c>
      <c r="L49" s="13">
        <v>2.0</v>
      </c>
      <c r="M49" s="13">
        <v>3.0</v>
      </c>
      <c r="N49" s="13">
        <v>1.0</v>
      </c>
      <c r="O49" s="13">
        <v>2.0</v>
      </c>
      <c r="P49" s="13">
        <v>3.0</v>
      </c>
      <c r="Q49" s="13">
        <v>1.0</v>
      </c>
      <c r="R49" s="13">
        <v>2.0</v>
      </c>
      <c r="S49" s="13">
        <v>3.0</v>
      </c>
      <c r="T49" s="13">
        <v>1.0</v>
      </c>
      <c r="U49" s="13">
        <v>2.0</v>
      </c>
      <c r="V49" s="13">
        <v>3.0</v>
      </c>
      <c r="W49" s="13">
        <v>2.0</v>
      </c>
      <c r="X49" s="13">
        <v>3.0</v>
      </c>
      <c r="Y49" s="13">
        <v>1.0</v>
      </c>
    </row>
    <row r="50">
      <c r="A50" s="11">
        <v>99.0</v>
      </c>
      <c r="B50" s="13">
        <v>2.0</v>
      </c>
      <c r="C50" s="13">
        <v>3.0</v>
      </c>
      <c r="D50" s="13">
        <v>1.0</v>
      </c>
      <c r="E50" s="13">
        <v>3.0</v>
      </c>
      <c r="F50" s="13">
        <v>2.0</v>
      </c>
      <c r="G50" s="13">
        <v>1.0</v>
      </c>
      <c r="H50" s="13">
        <v>1.0</v>
      </c>
      <c r="I50" s="13">
        <v>2.0</v>
      </c>
      <c r="J50" s="13">
        <v>3.0</v>
      </c>
      <c r="K50" s="13">
        <v>1.0</v>
      </c>
      <c r="L50" s="13">
        <v>2.0</v>
      </c>
      <c r="M50" s="13">
        <v>3.0</v>
      </c>
      <c r="N50" s="13">
        <v>3.0</v>
      </c>
      <c r="O50" s="13">
        <v>2.0</v>
      </c>
      <c r="P50" s="13">
        <v>1.0</v>
      </c>
      <c r="Q50" s="13">
        <v>1.0</v>
      </c>
      <c r="R50" s="13">
        <v>2.0</v>
      </c>
      <c r="S50" s="13">
        <v>3.0</v>
      </c>
      <c r="T50" s="13">
        <v>2.0</v>
      </c>
      <c r="U50" s="13">
        <v>3.0</v>
      </c>
      <c r="V50" s="13">
        <v>1.0</v>
      </c>
      <c r="W50" s="13">
        <v>2.0</v>
      </c>
      <c r="X50" s="13">
        <v>3.0</v>
      </c>
      <c r="Y50" s="13">
        <v>1.0</v>
      </c>
    </row>
    <row r="51">
      <c r="A51" s="11">
        <v>100.0</v>
      </c>
      <c r="B51" s="13">
        <v>2.0</v>
      </c>
      <c r="C51" s="13">
        <v>1.0</v>
      </c>
      <c r="D51" s="13">
        <v>3.0</v>
      </c>
      <c r="E51" s="13">
        <v>1.0</v>
      </c>
      <c r="F51" s="13">
        <v>3.0</v>
      </c>
      <c r="G51" s="13">
        <v>2.0</v>
      </c>
      <c r="H51" s="13">
        <v>1.0</v>
      </c>
      <c r="I51" s="13">
        <v>2.0</v>
      </c>
      <c r="J51" s="13">
        <v>3.0</v>
      </c>
      <c r="K51" s="13">
        <v>1.0</v>
      </c>
      <c r="L51" s="13">
        <v>2.0</v>
      </c>
      <c r="M51" s="13">
        <v>3.0</v>
      </c>
      <c r="N51" s="13">
        <v>1.0</v>
      </c>
      <c r="O51" s="13">
        <v>3.0</v>
      </c>
      <c r="P51" s="13">
        <v>2.0</v>
      </c>
      <c r="Q51" s="13">
        <v>2.0</v>
      </c>
      <c r="R51" s="13">
        <v>1.0</v>
      </c>
      <c r="S51" s="13">
        <v>3.0</v>
      </c>
      <c r="T51" s="13">
        <v>2.0</v>
      </c>
      <c r="U51" s="13">
        <v>3.0</v>
      </c>
      <c r="V51" s="13">
        <v>1.0</v>
      </c>
      <c r="W51" s="13">
        <v>2.0</v>
      </c>
      <c r="X51" s="13">
        <v>1.0</v>
      </c>
      <c r="Y51" s="13">
        <v>3.0</v>
      </c>
    </row>
    <row r="52">
      <c r="A52" s="11">
        <v>101.0</v>
      </c>
      <c r="B52" s="13">
        <v>2.0</v>
      </c>
      <c r="C52" s="13">
        <v>1.0</v>
      </c>
      <c r="D52" s="13">
        <v>3.0</v>
      </c>
      <c r="E52" s="13">
        <v>2.0</v>
      </c>
      <c r="F52" s="13">
        <v>3.0</v>
      </c>
      <c r="G52" s="13">
        <v>1.0</v>
      </c>
      <c r="H52" s="13">
        <v>1.0</v>
      </c>
      <c r="I52" s="13">
        <v>2.0</v>
      </c>
      <c r="J52" s="13">
        <v>3.0</v>
      </c>
      <c r="K52" s="13">
        <v>2.0</v>
      </c>
      <c r="L52" s="13">
        <v>3.0</v>
      </c>
      <c r="M52" s="13">
        <v>1.0</v>
      </c>
      <c r="N52" s="13">
        <v>1.0</v>
      </c>
      <c r="O52" s="13">
        <v>3.0</v>
      </c>
      <c r="P52" s="13">
        <v>2.0</v>
      </c>
      <c r="Q52" s="13">
        <v>3.0</v>
      </c>
      <c r="R52" s="13">
        <v>2.0</v>
      </c>
      <c r="S52" s="13">
        <v>1.0</v>
      </c>
      <c r="T52" s="13">
        <v>2.0</v>
      </c>
      <c r="U52" s="13">
        <v>1.0</v>
      </c>
      <c r="V52" s="13">
        <v>3.0</v>
      </c>
      <c r="W52" s="13">
        <v>2.0</v>
      </c>
      <c r="X52" s="13">
        <v>3.0</v>
      </c>
      <c r="Y52" s="13">
        <v>1.0</v>
      </c>
    </row>
    <row r="53">
      <c r="A53" s="11">
        <v>104.0</v>
      </c>
      <c r="B53" s="13">
        <v>2.0</v>
      </c>
      <c r="C53" s="13">
        <v>1.0</v>
      </c>
      <c r="D53" s="13">
        <v>3.0</v>
      </c>
      <c r="E53" s="13">
        <v>1.0</v>
      </c>
      <c r="F53" s="13">
        <v>2.0</v>
      </c>
      <c r="G53" s="13">
        <v>3.0</v>
      </c>
      <c r="H53" s="13">
        <v>1.0</v>
      </c>
      <c r="I53" s="13">
        <v>2.0</v>
      </c>
      <c r="J53" s="13">
        <v>3.0</v>
      </c>
      <c r="K53" s="13">
        <v>1.0</v>
      </c>
      <c r="L53" s="13">
        <v>2.0</v>
      </c>
      <c r="M53" s="13">
        <v>3.0</v>
      </c>
      <c r="N53" s="13">
        <v>1.0</v>
      </c>
      <c r="O53" s="13">
        <v>3.0</v>
      </c>
      <c r="P53" s="13">
        <v>2.0</v>
      </c>
      <c r="Q53" s="13">
        <v>2.0</v>
      </c>
      <c r="R53" s="13">
        <v>1.0</v>
      </c>
      <c r="S53" s="13">
        <v>3.0</v>
      </c>
      <c r="T53" s="13">
        <v>2.0</v>
      </c>
      <c r="U53" s="13">
        <v>3.0</v>
      </c>
      <c r="V53" s="13">
        <v>1.0</v>
      </c>
      <c r="W53" s="13">
        <v>2.0</v>
      </c>
      <c r="X53" s="13">
        <v>1.0</v>
      </c>
      <c r="Y53" s="13">
        <v>3.0</v>
      </c>
    </row>
    <row r="54">
      <c r="A54" s="11">
        <v>106.0</v>
      </c>
      <c r="B54" s="13">
        <v>2.0</v>
      </c>
      <c r="C54" s="13">
        <v>1.0</v>
      </c>
      <c r="D54" s="13">
        <v>3.0</v>
      </c>
      <c r="E54" s="13">
        <v>3.0</v>
      </c>
      <c r="F54" s="13">
        <v>2.0</v>
      </c>
      <c r="G54" s="13">
        <v>1.0</v>
      </c>
      <c r="H54" s="13">
        <v>1.0</v>
      </c>
      <c r="I54" s="13">
        <v>2.0</v>
      </c>
      <c r="J54" s="13">
        <v>3.0</v>
      </c>
      <c r="K54" s="13">
        <v>1.0</v>
      </c>
      <c r="L54" s="13">
        <v>3.0</v>
      </c>
      <c r="M54" s="13">
        <v>2.0</v>
      </c>
      <c r="N54" s="13">
        <v>1.0</v>
      </c>
      <c r="O54" s="13">
        <v>3.0</v>
      </c>
      <c r="P54" s="13">
        <v>2.0</v>
      </c>
      <c r="Q54" s="13">
        <v>3.0</v>
      </c>
      <c r="R54" s="13">
        <v>2.0</v>
      </c>
      <c r="S54" s="13">
        <v>1.0</v>
      </c>
      <c r="T54" s="13">
        <v>2.0</v>
      </c>
      <c r="U54" s="13">
        <v>1.0</v>
      </c>
      <c r="V54" s="13">
        <v>3.0</v>
      </c>
      <c r="W54" s="13">
        <v>2.0</v>
      </c>
      <c r="X54" s="13">
        <v>3.0</v>
      </c>
      <c r="Y54" s="13">
        <v>1.0</v>
      </c>
    </row>
    <row r="55">
      <c r="A55" s="11">
        <v>108.0</v>
      </c>
      <c r="B55" s="13">
        <v>3.0</v>
      </c>
      <c r="C55" s="13">
        <v>1.0</v>
      </c>
      <c r="D55" s="13">
        <v>2.0</v>
      </c>
      <c r="E55" s="13">
        <v>2.0</v>
      </c>
      <c r="F55" s="13">
        <v>1.0</v>
      </c>
      <c r="G55" s="13">
        <v>3.0</v>
      </c>
      <c r="H55" s="13">
        <v>2.0</v>
      </c>
      <c r="I55" s="13">
        <v>1.0</v>
      </c>
      <c r="J55" s="13">
        <v>3.0</v>
      </c>
      <c r="K55" s="13">
        <v>3.0</v>
      </c>
      <c r="L55" s="13">
        <v>2.0</v>
      </c>
      <c r="M55" s="13">
        <v>1.0</v>
      </c>
      <c r="N55" s="13">
        <v>3.0</v>
      </c>
      <c r="O55" s="13">
        <v>2.0</v>
      </c>
      <c r="P55" s="13">
        <v>1.0</v>
      </c>
      <c r="Q55" s="13">
        <v>1.0</v>
      </c>
      <c r="R55" s="13">
        <v>3.0</v>
      </c>
      <c r="S55" s="13">
        <v>2.0</v>
      </c>
      <c r="T55" s="13">
        <v>2.0</v>
      </c>
      <c r="U55" s="13">
        <v>3.0</v>
      </c>
      <c r="V55" s="13">
        <v>1.0</v>
      </c>
      <c r="W55" s="13">
        <v>3.0</v>
      </c>
      <c r="X55" s="13">
        <v>1.0</v>
      </c>
      <c r="Y55" s="13">
        <v>2.0</v>
      </c>
    </row>
    <row r="56">
      <c r="A56" s="11">
        <v>109.0</v>
      </c>
      <c r="B56" s="13">
        <v>2.0</v>
      </c>
      <c r="C56" s="13">
        <v>3.0</v>
      </c>
      <c r="D56" s="13">
        <v>1.0</v>
      </c>
      <c r="E56" s="13">
        <v>2.0</v>
      </c>
      <c r="F56" s="13">
        <v>1.0</v>
      </c>
      <c r="G56" s="13">
        <v>3.0</v>
      </c>
      <c r="H56" s="13">
        <v>1.0</v>
      </c>
      <c r="I56" s="13">
        <v>2.0</v>
      </c>
      <c r="J56" s="13">
        <v>3.0</v>
      </c>
      <c r="K56" s="13">
        <v>1.0</v>
      </c>
      <c r="L56" s="13">
        <v>2.0</v>
      </c>
      <c r="M56" s="13">
        <v>3.0</v>
      </c>
      <c r="N56" s="13">
        <v>3.0</v>
      </c>
      <c r="O56" s="13">
        <v>1.0</v>
      </c>
      <c r="P56" s="13">
        <v>2.0</v>
      </c>
      <c r="Q56" s="13">
        <v>2.0</v>
      </c>
      <c r="R56" s="13">
        <v>1.0</v>
      </c>
      <c r="S56" s="13">
        <v>3.0</v>
      </c>
      <c r="T56" s="13">
        <v>2.0</v>
      </c>
      <c r="U56" s="13">
        <v>3.0</v>
      </c>
      <c r="V56" s="13">
        <v>1.0</v>
      </c>
      <c r="W56" s="13">
        <v>3.0</v>
      </c>
      <c r="X56" s="13">
        <v>2.0</v>
      </c>
      <c r="Y56" s="13">
        <v>1.0</v>
      </c>
    </row>
    <row r="57">
      <c r="A57" s="11">
        <v>111.0</v>
      </c>
      <c r="B57" s="13">
        <v>2.0</v>
      </c>
      <c r="C57" s="13">
        <v>3.0</v>
      </c>
      <c r="D57" s="13">
        <v>1.0</v>
      </c>
      <c r="E57" s="13">
        <v>3.0</v>
      </c>
      <c r="F57" s="13">
        <v>2.0</v>
      </c>
      <c r="G57" s="13">
        <v>1.0</v>
      </c>
      <c r="H57" s="13">
        <v>1.0</v>
      </c>
      <c r="I57" s="13">
        <v>2.0</v>
      </c>
      <c r="J57" s="13">
        <v>3.0</v>
      </c>
      <c r="K57" s="13">
        <v>1.0</v>
      </c>
      <c r="L57" s="13">
        <v>2.0</v>
      </c>
      <c r="M57" s="13">
        <v>3.0</v>
      </c>
      <c r="N57" s="13">
        <v>1.0</v>
      </c>
      <c r="O57" s="13">
        <v>3.0</v>
      </c>
      <c r="P57" s="13">
        <v>2.0</v>
      </c>
      <c r="Q57" s="13">
        <v>2.0</v>
      </c>
      <c r="R57" s="13">
        <v>1.0</v>
      </c>
      <c r="S57" s="13">
        <v>3.0</v>
      </c>
      <c r="T57" s="13">
        <v>2.0</v>
      </c>
      <c r="U57" s="13">
        <v>3.0</v>
      </c>
      <c r="V57" s="13">
        <v>1.0</v>
      </c>
      <c r="W57" s="13">
        <v>2.0</v>
      </c>
      <c r="X57" s="13">
        <v>3.0</v>
      </c>
      <c r="Y57" s="13">
        <v>1.0</v>
      </c>
    </row>
    <row r="58">
      <c r="A58" s="11">
        <v>112.0</v>
      </c>
      <c r="B58" s="13">
        <v>2.0</v>
      </c>
      <c r="C58" s="13">
        <v>1.0</v>
      </c>
      <c r="D58" s="13">
        <v>3.0</v>
      </c>
      <c r="E58" s="13">
        <v>3.0</v>
      </c>
      <c r="F58" s="13">
        <v>2.0</v>
      </c>
      <c r="G58" s="13">
        <v>1.0</v>
      </c>
      <c r="H58" s="13">
        <v>1.0</v>
      </c>
      <c r="I58" s="13">
        <v>2.0</v>
      </c>
      <c r="J58" s="13">
        <v>3.0</v>
      </c>
      <c r="K58" s="13">
        <v>1.0</v>
      </c>
      <c r="L58" s="13">
        <v>2.0</v>
      </c>
      <c r="M58" s="13">
        <v>3.0</v>
      </c>
      <c r="N58" s="13">
        <v>1.0</v>
      </c>
      <c r="O58" s="13">
        <v>2.0</v>
      </c>
      <c r="P58" s="13">
        <v>3.0</v>
      </c>
      <c r="Q58" s="13">
        <v>2.0</v>
      </c>
      <c r="R58" s="13">
        <v>1.0</v>
      </c>
      <c r="S58" s="13">
        <v>3.0</v>
      </c>
      <c r="T58" s="13">
        <v>2.0</v>
      </c>
      <c r="U58" s="13">
        <v>1.0</v>
      </c>
      <c r="V58" s="13">
        <v>3.0</v>
      </c>
      <c r="W58" s="13">
        <v>2.0</v>
      </c>
      <c r="X58" s="13">
        <v>3.0</v>
      </c>
      <c r="Y58" s="13">
        <v>1.0</v>
      </c>
    </row>
    <row r="59">
      <c r="A59" s="11">
        <v>113.0</v>
      </c>
      <c r="B59" s="13">
        <v>2.0</v>
      </c>
      <c r="C59" s="13">
        <v>1.0</v>
      </c>
      <c r="D59" s="13">
        <v>3.0</v>
      </c>
      <c r="E59" s="13">
        <v>3.0</v>
      </c>
      <c r="F59" s="13">
        <v>2.0</v>
      </c>
      <c r="G59" s="13">
        <v>1.0</v>
      </c>
      <c r="H59" s="13">
        <v>1.0</v>
      </c>
      <c r="I59" s="13">
        <v>2.0</v>
      </c>
      <c r="J59" s="13">
        <v>3.0</v>
      </c>
      <c r="K59" s="13">
        <v>1.0</v>
      </c>
      <c r="L59" s="13">
        <v>2.0</v>
      </c>
      <c r="M59" s="13">
        <v>3.0</v>
      </c>
      <c r="N59" s="13">
        <v>1.0</v>
      </c>
      <c r="O59" s="13">
        <v>2.0</v>
      </c>
      <c r="P59" s="13">
        <v>3.0</v>
      </c>
      <c r="Q59" s="13">
        <v>3.0</v>
      </c>
      <c r="R59" s="13">
        <v>2.0</v>
      </c>
      <c r="S59" s="13">
        <v>1.0</v>
      </c>
      <c r="T59" s="13">
        <v>2.0</v>
      </c>
      <c r="U59" s="13">
        <v>1.0</v>
      </c>
      <c r="V59" s="13">
        <v>3.0</v>
      </c>
      <c r="W59" s="13">
        <v>1.0</v>
      </c>
      <c r="X59" s="13">
        <v>2.0</v>
      </c>
      <c r="Y59" s="13">
        <v>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c r="B1" s="5"/>
      <c r="C1" s="5"/>
      <c r="D1" s="5"/>
      <c r="E1" s="5"/>
      <c r="G1" s="6" t="s">
        <v>17</v>
      </c>
      <c r="L1" s="6" t="s">
        <v>23</v>
      </c>
    </row>
    <row r="2">
      <c r="A2" s="7"/>
      <c r="B2" s="8" t="s">
        <v>28</v>
      </c>
      <c r="C2" s="8" t="s">
        <v>30</v>
      </c>
      <c r="D2" s="8" t="s">
        <v>34</v>
      </c>
      <c r="E2" s="8" t="s">
        <v>37</v>
      </c>
      <c r="G2" s="6" t="s">
        <v>39</v>
      </c>
      <c r="L2" s="6" t="s">
        <v>41</v>
      </c>
      <c r="M2" s="6" t="s">
        <v>43</v>
      </c>
      <c r="N2" s="6" t="s">
        <v>45</v>
      </c>
      <c r="O2" s="6" t="s">
        <v>48</v>
      </c>
    </row>
    <row r="3">
      <c r="A3" s="9" t="s">
        <v>52</v>
      </c>
      <c r="B3" s="10">
        <v>56.0</v>
      </c>
      <c r="C3" s="10">
        <v>56.0</v>
      </c>
      <c r="D3" s="10">
        <v>57.0</v>
      </c>
      <c r="E3" s="10">
        <v>56.0</v>
      </c>
      <c r="G3" s="6" t="s">
        <v>61</v>
      </c>
      <c r="H3" s="6" t="s">
        <v>26</v>
      </c>
      <c r="I3" s="6" t="s">
        <v>25</v>
      </c>
      <c r="J3" s="6" t="s">
        <v>27</v>
      </c>
      <c r="L3" s="6" t="s">
        <v>22</v>
      </c>
      <c r="M3" s="6">
        <v>44.0</v>
      </c>
      <c r="N3" s="6">
        <v>2.0</v>
      </c>
      <c r="O3" s="6" t="s">
        <v>65</v>
      </c>
    </row>
    <row r="4">
      <c r="A4" s="9" t="s">
        <v>67</v>
      </c>
      <c r="B4" s="10">
        <v>2.0</v>
      </c>
      <c r="C4" s="10">
        <v>2.0</v>
      </c>
      <c r="D4" s="10">
        <v>1.0</v>
      </c>
      <c r="E4" s="10">
        <v>2.0</v>
      </c>
      <c r="G4" s="6" t="s">
        <v>26</v>
      </c>
      <c r="H4" s="6">
        <v>0.0</v>
      </c>
      <c r="I4" s="6">
        <v>0.0</v>
      </c>
      <c r="J4" s="6">
        <v>0.0</v>
      </c>
      <c r="L4" s="6" t="s">
        <v>32</v>
      </c>
      <c r="M4" s="6">
        <v>32.316</v>
      </c>
      <c r="N4" s="6">
        <v>2.0</v>
      </c>
      <c r="O4" s="6" t="s">
        <v>65</v>
      </c>
    </row>
    <row r="5">
      <c r="A5" s="9" t="s">
        <v>72</v>
      </c>
      <c r="B5" s="15">
        <v>0.786</v>
      </c>
      <c r="C5" s="15">
        <v>0.732</v>
      </c>
      <c r="D5" s="15">
        <v>0.825</v>
      </c>
      <c r="E5" s="15">
        <v>0.804</v>
      </c>
      <c r="G5" s="6" t="s">
        <v>25</v>
      </c>
      <c r="H5" s="6">
        <v>25.0</v>
      </c>
      <c r="I5" s="6">
        <v>10.0</v>
      </c>
      <c r="J5" s="6">
        <v>19.0</v>
      </c>
      <c r="L5" s="6" t="s">
        <v>46</v>
      </c>
      <c r="M5" s="6">
        <v>47.0</v>
      </c>
      <c r="N5" s="6">
        <v>2.0</v>
      </c>
      <c r="O5" s="6" t="s">
        <v>65</v>
      </c>
    </row>
    <row r="6">
      <c r="A6" s="9" t="s">
        <v>83</v>
      </c>
      <c r="B6" s="10">
        <v>1.0</v>
      </c>
      <c r="C6" s="10">
        <v>1.0</v>
      </c>
      <c r="D6" s="10">
        <v>1.0</v>
      </c>
      <c r="E6" s="10">
        <v>1.0</v>
      </c>
      <c r="G6" s="6" t="s">
        <v>27</v>
      </c>
      <c r="H6" s="6">
        <v>0.0</v>
      </c>
      <c r="I6" s="6">
        <v>0.0</v>
      </c>
      <c r="J6" s="6">
        <v>2.0</v>
      </c>
      <c r="L6" s="6" t="s">
        <v>57</v>
      </c>
      <c r="M6" s="6">
        <v>40.343</v>
      </c>
      <c r="N6" s="6">
        <v>2.0</v>
      </c>
      <c r="O6" s="6" t="s">
        <v>65</v>
      </c>
    </row>
    <row r="7">
      <c r="A7" s="9" t="s">
        <v>89</v>
      </c>
      <c r="B7" s="10">
        <v>0.414</v>
      </c>
      <c r="C7" s="10">
        <v>0.447</v>
      </c>
      <c r="D7" s="10">
        <v>0.384</v>
      </c>
      <c r="E7" s="10">
        <v>0.401</v>
      </c>
      <c r="G7" s="6" t="s">
        <v>91</v>
      </c>
    </row>
    <row r="8">
      <c r="A8" s="9" t="s">
        <v>92</v>
      </c>
      <c r="B8" s="10">
        <v>0.0</v>
      </c>
      <c r="C8" s="10">
        <v>0.0</v>
      </c>
      <c r="D8" s="10">
        <v>0.0</v>
      </c>
      <c r="E8" s="10">
        <v>0.0</v>
      </c>
      <c r="G8" s="6" t="s">
        <v>61</v>
      </c>
      <c r="H8" s="6" t="s">
        <v>26</v>
      </c>
      <c r="I8" s="6" t="s">
        <v>25</v>
      </c>
      <c r="J8" s="6" t="s">
        <v>27</v>
      </c>
    </row>
    <row r="9">
      <c r="A9" s="18" t="s">
        <v>99</v>
      </c>
      <c r="B9" s="19">
        <v>1.0</v>
      </c>
      <c r="C9" s="19">
        <v>1.0</v>
      </c>
      <c r="D9" s="19">
        <v>1.0</v>
      </c>
      <c r="E9" s="19">
        <v>1.0</v>
      </c>
      <c r="G9" s="6" t="s">
        <v>26</v>
      </c>
      <c r="H9" s="6">
        <v>0.0</v>
      </c>
      <c r="I9" s="6">
        <v>2.0</v>
      </c>
      <c r="J9" s="6">
        <v>0.0</v>
      </c>
    </row>
    <row r="10">
      <c r="G10" s="6" t="s">
        <v>25</v>
      </c>
      <c r="H10" s="6">
        <v>3.0</v>
      </c>
      <c r="I10" s="6">
        <v>7.0</v>
      </c>
      <c r="J10" s="6">
        <v>1.0</v>
      </c>
    </row>
    <row r="11">
      <c r="G11" s="6" t="s">
        <v>27</v>
      </c>
      <c r="H11" s="6">
        <v>11.0</v>
      </c>
      <c r="I11" s="6">
        <v>24.0</v>
      </c>
      <c r="J11" s="6">
        <v>8.0</v>
      </c>
    </row>
    <row r="12">
      <c r="A12" s="20" t="s">
        <v>118</v>
      </c>
      <c r="B12" s="21"/>
      <c r="C12" s="21"/>
      <c r="D12" s="21"/>
      <c r="E12" s="21"/>
      <c r="G12" s="6" t="s">
        <v>124</v>
      </c>
    </row>
    <row r="13">
      <c r="A13" s="20" t="s">
        <v>127</v>
      </c>
      <c r="B13" s="21"/>
      <c r="C13" s="21"/>
      <c r="D13" s="21"/>
      <c r="E13" s="21"/>
      <c r="G13" s="6" t="s">
        <v>61</v>
      </c>
      <c r="H13" s="6" t="s">
        <v>26</v>
      </c>
      <c r="I13" s="6" t="s">
        <v>25</v>
      </c>
      <c r="J13" s="6" t="s">
        <v>27</v>
      </c>
    </row>
    <row r="14">
      <c r="G14" s="6" t="s">
        <v>26</v>
      </c>
      <c r="H14" s="6">
        <v>5.0</v>
      </c>
      <c r="I14" s="6">
        <v>40.0</v>
      </c>
      <c r="J14" s="6">
        <v>7.0</v>
      </c>
    </row>
    <row r="15">
      <c r="G15" s="6" t="s">
        <v>25</v>
      </c>
      <c r="H15" s="6">
        <v>0.0</v>
      </c>
      <c r="I15" s="6">
        <v>5.0</v>
      </c>
      <c r="J15" s="6">
        <v>0.0</v>
      </c>
    </row>
    <row r="16">
      <c r="G16" s="6" t="s">
        <v>27</v>
      </c>
      <c r="H16" s="6">
        <v>0.0</v>
      </c>
      <c r="I16" s="6">
        <v>0.0</v>
      </c>
      <c r="J16" s="6">
        <v>0.0</v>
      </c>
    </row>
    <row r="17">
      <c r="G17" s="6" t="s">
        <v>143</v>
      </c>
    </row>
    <row r="18">
      <c r="G18" s="6" t="s">
        <v>61</v>
      </c>
      <c r="H18" s="6" t="s">
        <v>26</v>
      </c>
      <c r="I18" s="6" t="s">
        <v>25</v>
      </c>
      <c r="J18" s="6" t="s">
        <v>27</v>
      </c>
    </row>
    <row r="19">
      <c r="G19" s="6" t="s">
        <v>26</v>
      </c>
      <c r="H19" s="6">
        <v>7.0</v>
      </c>
      <c r="I19" s="6">
        <v>36.0</v>
      </c>
      <c r="J19" s="6">
        <v>7.0</v>
      </c>
    </row>
    <row r="20">
      <c r="G20" s="6" t="s">
        <v>25</v>
      </c>
      <c r="H20" s="6">
        <v>1.0</v>
      </c>
      <c r="I20" s="6">
        <v>3.0</v>
      </c>
      <c r="J20" s="6">
        <v>1.0</v>
      </c>
    </row>
    <row r="21">
      <c r="G21" s="6" t="s">
        <v>27</v>
      </c>
      <c r="H21" s="6">
        <v>0.0</v>
      </c>
      <c r="I21" s="6">
        <v>0.0</v>
      </c>
      <c r="J21" s="6">
        <v>1.0</v>
      </c>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2" t="s">
        <v>187</v>
      </c>
      <c r="G24" s="6" t="s">
        <v>189</v>
      </c>
    </row>
    <row r="25">
      <c r="A25" s="6" t="s">
        <v>41</v>
      </c>
      <c r="B25" s="6" t="s">
        <v>194</v>
      </c>
      <c r="C25" s="6" t="s">
        <v>72</v>
      </c>
      <c r="D25" s="6" t="s">
        <v>195</v>
      </c>
      <c r="E25" s="6" t="s">
        <v>83</v>
      </c>
      <c r="G25" s="24" t="s">
        <v>198</v>
      </c>
      <c r="H25" s="5"/>
      <c r="I25" s="5"/>
      <c r="J25" s="5"/>
      <c r="K25" s="5"/>
      <c r="L25" s="5"/>
    </row>
    <row r="26">
      <c r="A26" s="6" t="s">
        <v>22</v>
      </c>
      <c r="B26" s="6">
        <v>56.0</v>
      </c>
      <c r="C26" s="6">
        <v>2.96</v>
      </c>
      <c r="D26" s="6">
        <v>1.37</v>
      </c>
      <c r="E26" s="6">
        <v>4.0</v>
      </c>
      <c r="G26" s="7"/>
      <c r="H26" s="7"/>
      <c r="I26" s="8" t="s">
        <v>205</v>
      </c>
      <c r="J26" s="8" t="s">
        <v>48</v>
      </c>
      <c r="K26" s="7"/>
      <c r="L26" s="8" t="s">
        <v>208</v>
      </c>
    </row>
    <row r="27">
      <c r="A27" s="6" t="s">
        <v>32</v>
      </c>
      <c r="B27" s="6">
        <v>56.0</v>
      </c>
      <c r="C27" s="6">
        <v>2.82</v>
      </c>
      <c r="D27" s="6">
        <v>1.51</v>
      </c>
      <c r="E27" s="6">
        <v>4.0</v>
      </c>
      <c r="G27" s="9" t="s">
        <v>212</v>
      </c>
      <c r="H27" s="9" t="s">
        <v>214</v>
      </c>
      <c r="I27" s="10">
        <v>1275.0</v>
      </c>
      <c r="J27" s="10" t="s">
        <v>65</v>
      </c>
      <c r="K27" s="9" t="s">
        <v>218</v>
      </c>
      <c r="L27" s="10">
        <v>1.0</v>
      </c>
    </row>
    <row r="28">
      <c r="A28" s="6" t="s">
        <v>46</v>
      </c>
      <c r="B28" s="6">
        <v>57.0</v>
      </c>
      <c r="C28" s="6">
        <v>2.84</v>
      </c>
      <c r="D28" s="6">
        <v>1.46</v>
      </c>
      <c r="E28" s="6">
        <v>4.0</v>
      </c>
      <c r="G28" s="9" t="s">
        <v>222</v>
      </c>
      <c r="H28" s="9" t="s">
        <v>214</v>
      </c>
      <c r="I28" s="10">
        <v>1128.0</v>
      </c>
      <c r="J28" s="10" t="s">
        <v>65</v>
      </c>
      <c r="K28" s="9" t="s">
        <v>218</v>
      </c>
      <c r="L28" s="10">
        <v>1.0</v>
      </c>
    </row>
    <row r="29">
      <c r="A29" s="6" t="s">
        <v>57</v>
      </c>
      <c r="B29" s="6">
        <v>56.0</v>
      </c>
      <c r="C29" s="6">
        <v>2.86</v>
      </c>
      <c r="D29" s="6">
        <v>1.52</v>
      </c>
      <c r="E29" s="6">
        <v>4.0</v>
      </c>
      <c r="G29" s="9" t="s">
        <v>228</v>
      </c>
      <c r="H29" s="9" t="s">
        <v>214</v>
      </c>
      <c r="I29" s="10">
        <v>1225.0</v>
      </c>
      <c r="J29" s="10" t="s">
        <v>65</v>
      </c>
      <c r="K29" s="9" t="s">
        <v>218</v>
      </c>
      <c r="L29" s="10">
        <v>1.0</v>
      </c>
    </row>
    <row r="30">
      <c r="G30" s="18" t="s">
        <v>234</v>
      </c>
      <c r="H30" s="18" t="s">
        <v>214</v>
      </c>
      <c r="I30" s="19">
        <v>1128.0</v>
      </c>
      <c r="J30" s="19" t="s">
        <v>65</v>
      </c>
      <c r="K30" s="18" t="s">
        <v>218</v>
      </c>
      <c r="L30" s="19">
        <v>1.0</v>
      </c>
    </row>
    <row r="31">
      <c r="A31" s="2" t="s">
        <v>235</v>
      </c>
    </row>
    <row r="32">
      <c r="A32" s="6" t="s">
        <v>41</v>
      </c>
      <c r="B32" s="6" t="s">
        <v>236</v>
      </c>
      <c r="C32" s="6" t="s">
        <v>238</v>
      </c>
      <c r="D32" s="6" t="s">
        <v>239</v>
      </c>
      <c r="E32" s="6" t="s">
        <v>241</v>
      </c>
      <c r="F32" s="6" t="s">
        <v>48</v>
      </c>
    </row>
    <row r="33">
      <c r="A33" s="6" t="s">
        <v>22</v>
      </c>
      <c r="B33" s="6" t="s">
        <v>26</v>
      </c>
      <c r="C33" s="6">
        <v>2.32</v>
      </c>
      <c r="D33" s="6">
        <v>1.71</v>
      </c>
      <c r="E33" s="6">
        <v>49.5</v>
      </c>
      <c r="F33" s="6" t="s">
        <v>65</v>
      </c>
    </row>
    <row r="34">
      <c r="A34" s="6" t="s">
        <v>22</v>
      </c>
      <c r="B34" s="6" t="s">
        <v>25</v>
      </c>
      <c r="C34" s="6">
        <v>1.05</v>
      </c>
      <c r="D34" s="6">
        <v>2.38</v>
      </c>
      <c r="E34" s="6">
        <v>8.5</v>
      </c>
      <c r="F34" s="6" t="s">
        <v>65</v>
      </c>
    </row>
    <row r="35">
      <c r="A35" s="6" t="s">
        <v>22</v>
      </c>
      <c r="B35" s="6" t="s">
        <v>27</v>
      </c>
      <c r="C35" s="6">
        <v>2.62</v>
      </c>
      <c r="D35" s="6">
        <v>1.91</v>
      </c>
      <c r="E35" s="6">
        <v>77.5</v>
      </c>
      <c r="F35" s="6" t="s">
        <v>65</v>
      </c>
    </row>
    <row r="36">
      <c r="A36" s="6" t="s">
        <v>32</v>
      </c>
      <c r="B36" s="6" t="s">
        <v>26</v>
      </c>
      <c r="C36" s="6">
        <v>2.8</v>
      </c>
      <c r="D36" s="6">
        <v>2.05</v>
      </c>
      <c r="E36" s="6">
        <v>50.0</v>
      </c>
      <c r="F36" s="6" t="s">
        <v>65</v>
      </c>
    </row>
    <row r="37">
      <c r="A37" s="6" t="s">
        <v>32</v>
      </c>
      <c r="B37" s="6" t="s">
        <v>25</v>
      </c>
      <c r="C37" s="6">
        <v>1.89</v>
      </c>
      <c r="D37" s="6">
        <v>1.45</v>
      </c>
      <c r="E37" s="6">
        <v>86.0</v>
      </c>
      <c r="F37" s="6" t="s">
        <v>65</v>
      </c>
    </row>
    <row r="38">
      <c r="A38" s="6" t="s">
        <v>32</v>
      </c>
      <c r="B38" s="6" t="s">
        <v>27</v>
      </c>
      <c r="C38" s="6">
        <v>1.3</v>
      </c>
      <c r="D38" s="6">
        <v>2.5</v>
      </c>
      <c r="E38" s="6">
        <v>18.0</v>
      </c>
      <c r="F38" s="6" t="s">
        <v>65</v>
      </c>
    </row>
    <row r="39">
      <c r="A39" s="6" t="s">
        <v>46</v>
      </c>
      <c r="B39" s="6" t="s">
        <v>26</v>
      </c>
      <c r="C39" s="6">
        <v>1.11</v>
      </c>
      <c r="D39" s="6">
        <v>2.51</v>
      </c>
      <c r="E39" s="6">
        <v>0.0</v>
      </c>
      <c r="F39" s="6" t="s">
        <v>65</v>
      </c>
    </row>
    <row r="40">
      <c r="A40" s="6" t="s">
        <v>46</v>
      </c>
      <c r="B40" s="6" t="s">
        <v>25</v>
      </c>
      <c r="C40" s="6">
        <v>2.0</v>
      </c>
      <c r="D40" s="6">
        <v>1.23</v>
      </c>
      <c r="E40" s="6">
        <v>0.0</v>
      </c>
      <c r="F40" s="6" t="s">
        <v>65</v>
      </c>
    </row>
    <row r="41">
      <c r="A41" s="6" t="s">
        <v>46</v>
      </c>
      <c r="B41" s="6" t="s">
        <v>27</v>
      </c>
      <c r="C41" s="6">
        <v>2.89</v>
      </c>
      <c r="D41" s="6">
        <v>2.26</v>
      </c>
      <c r="E41" s="6">
        <v>13.5</v>
      </c>
      <c r="F41" s="6" t="s">
        <v>65</v>
      </c>
    </row>
    <row r="42">
      <c r="A42" s="6" t="s">
        <v>57</v>
      </c>
      <c r="B42" s="6" t="s">
        <v>26</v>
      </c>
      <c r="C42" s="6">
        <v>1.18</v>
      </c>
      <c r="D42" s="6">
        <v>2.5</v>
      </c>
      <c r="E42" s="6">
        <v>13.0</v>
      </c>
      <c r="F42" s="6" t="s">
        <v>65</v>
      </c>
    </row>
    <row r="43">
      <c r="A43" s="6" t="s">
        <v>57</v>
      </c>
      <c r="B43" s="6" t="s">
        <v>25</v>
      </c>
      <c r="C43" s="6">
        <v>2.02</v>
      </c>
      <c r="D43" s="6">
        <v>1.34</v>
      </c>
      <c r="E43" s="6">
        <v>78.0</v>
      </c>
      <c r="F43" s="6" t="s">
        <v>65</v>
      </c>
    </row>
    <row r="44">
      <c r="A44" s="6" t="s">
        <v>57</v>
      </c>
      <c r="B44" s="6" t="s">
        <v>27</v>
      </c>
      <c r="C44" s="6">
        <v>2.8</v>
      </c>
      <c r="D44" s="6">
        <v>2.16</v>
      </c>
      <c r="E44" s="6">
        <v>0.0</v>
      </c>
      <c r="F44" s="6" t="s">
        <v>65</v>
      </c>
    </row>
    <row r="49">
      <c r="A49" s="6" t="s">
        <v>41</v>
      </c>
      <c r="B49" s="6" t="s">
        <v>236</v>
      </c>
      <c r="C49" s="6" t="s">
        <v>260</v>
      </c>
      <c r="D49" s="6" t="s">
        <v>261</v>
      </c>
    </row>
    <row r="50">
      <c r="A50" s="6" t="s">
        <v>22</v>
      </c>
      <c r="B50" s="6" t="s">
        <v>262</v>
      </c>
      <c r="C50" s="6">
        <v>1.05</v>
      </c>
      <c r="D50" s="6">
        <v>2.38</v>
      </c>
    </row>
    <row r="51">
      <c r="A51" s="6" t="s">
        <v>22</v>
      </c>
      <c r="B51" s="6" t="s">
        <v>264</v>
      </c>
      <c r="C51" s="6">
        <v>2.32</v>
      </c>
      <c r="D51" s="6">
        <v>1.71</v>
      </c>
    </row>
    <row r="52">
      <c r="A52" s="6" t="s">
        <v>22</v>
      </c>
      <c r="B52" s="6" t="s">
        <v>265</v>
      </c>
      <c r="C52" s="6">
        <v>2.62</v>
      </c>
      <c r="D52" s="6">
        <v>1.91</v>
      </c>
    </row>
    <row r="53">
      <c r="A53" s="6" t="s">
        <v>32</v>
      </c>
      <c r="B53" s="6" t="s">
        <v>262</v>
      </c>
      <c r="C53" s="6">
        <v>1.3</v>
      </c>
      <c r="D53" s="6">
        <v>2.5</v>
      </c>
    </row>
    <row r="54">
      <c r="A54" s="6" t="s">
        <v>32</v>
      </c>
      <c r="B54" s="6" t="s">
        <v>264</v>
      </c>
      <c r="C54" s="6">
        <v>1.89</v>
      </c>
      <c r="D54" s="6">
        <v>1.45</v>
      </c>
    </row>
    <row r="55">
      <c r="A55" s="6" t="s">
        <v>32</v>
      </c>
      <c r="B55" s="6" t="s">
        <v>265</v>
      </c>
      <c r="C55" s="6">
        <v>2.8</v>
      </c>
      <c r="D55" s="6">
        <v>2.05</v>
      </c>
    </row>
    <row r="56">
      <c r="A56" s="6" t="s">
        <v>46</v>
      </c>
      <c r="B56" s="6" t="s">
        <v>262</v>
      </c>
      <c r="C56" s="6">
        <v>1.11</v>
      </c>
      <c r="D56" s="6">
        <v>2.51</v>
      </c>
    </row>
    <row r="57">
      <c r="A57" s="6" t="s">
        <v>46</v>
      </c>
      <c r="B57" s="6" t="s">
        <v>264</v>
      </c>
      <c r="C57" s="6">
        <v>2.0</v>
      </c>
      <c r="D57" s="6">
        <v>1.23</v>
      </c>
    </row>
    <row r="58">
      <c r="A58" s="6" t="s">
        <v>46</v>
      </c>
      <c r="B58" s="6" t="s">
        <v>265</v>
      </c>
      <c r="C58" s="6">
        <v>2.89</v>
      </c>
      <c r="D58" s="6">
        <v>2.26</v>
      </c>
    </row>
    <row r="59">
      <c r="A59" s="6" t="s">
        <v>57</v>
      </c>
      <c r="B59" s="6" t="s">
        <v>262</v>
      </c>
      <c r="C59" s="6">
        <v>1.18</v>
      </c>
      <c r="D59" s="6">
        <v>2.5</v>
      </c>
    </row>
    <row r="60">
      <c r="A60" s="6" t="s">
        <v>57</v>
      </c>
      <c r="B60" s="6" t="s">
        <v>264</v>
      </c>
      <c r="C60" s="6">
        <v>2.02</v>
      </c>
      <c r="D60" s="6">
        <v>1.34</v>
      </c>
    </row>
    <row r="61">
      <c r="A61" s="6" t="s">
        <v>57</v>
      </c>
      <c r="B61" s="6" t="s">
        <v>265</v>
      </c>
      <c r="C61" s="6">
        <v>2.8</v>
      </c>
      <c r="D61" s="6">
        <v>2.16</v>
      </c>
    </row>
  </sheetData>
  <mergeCells count="2">
    <mergeCell ref="A1:E1"/>
    <mergeCell ref="G25:L2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13</v>
      </c>
      <c r="B1" s="34" t="s">
        <v>35</v>
      </c>
      <c r="C1" s="34" t="s">
        <v>51</v>
      </c>
      <c r="D1" s="34" t="s">
        <v>62</v>
      </c>
      <c r="E1" s="34" t="s">
        <v>68</v>
      </c>
      <c r="F1" s="34" t="s">
        <v>71</v>
      </c>
      <c r="G1" s="34" t="s">
        <v>76</v>
      </c>
      <c r="H1" s="34" t="s">
        <v>88</v>
      </c>
    </row>
    <row r="2">
      <c r="A2" s="36" t="s">
        <v>116</v>
      </c>
      <c r="B2" s="36" t="s">
        <v>132</v>
      </c>
      <c r="C2" s="36" t="s">
        <v>142</v>
      </c>
      <c r="D2" s="36" t="s">
        <v>151</v>
      </c>
      <c r="E2" s="36" t="s">
        <v>163</v>
      </c>
      <c r="F2" s="36" t="s">
        <v>176</v>
      </c>
      <c r="G2" s="36" t="s">
        <v>188</v>
      </c>
      <c r="H2" s="36" t="s">
        <v>200</v>
      </c>
    </row>
    <row r="3">
      <c r="A3" s="37">
        <v>1.0</v>
      </c>
      <c r="B3" s="37">
        <v>1.0</v>
      </c>
      <c r="C3" s="37">
        <v>5.0</v>
      </c>
      <c r="D3" s="37">
        <v>1.0</v>
      </c>
      <c r="E3" s="37">
        <v>2.0</v>
      </c>
      <c r="F3" s="37">
        <v>1.0</v>
      </c>
      <c r="G3" s="37">
        <v>2.0</v>
      </c>
      <c r="H3" s="37">
        <v>1.0</v>
      </c>
    </row>
    <row r="4">
      <c r="A4" s="37">
        <v>4.0</v>
      </c>
      <c r="B4" s="37">
        <v>4.0</v>
      </c>
      <c r="C4" s="37">
        <v>4.0</v>
      </c>
      <c r="D4" s="37">
        <v>4.0</v>
      </c>
      <c r="E4" s="37">
        <v>5.0</v>
      </c>
      <c r="F4" s="37">
        <v>5.0</v>
      </c>
      <c r="G4" s="37">
        <v>4.0</v>
      </c>
      <c r="H4" s="37">
        <v>5.0</v>
      </c>
    </row>
    <row r="5">
      <c r="A5" s="37">
        <v>1.0</v>
      </c>
      <c r="B5" s="37">
        <v>1.0</v>
      </c>
      <c r="C5" s="37">
        <v>1.0</v>
      </c>
      <c r="D5" s="37">
        <v>1.0</v>
      </c>
      <c r="E5" s="37">
        <v>1.0</v>
      </c>
      <c r="F5" s="37">
        <v>1.0</v>
      </c>
      <c r="G5" s="37">
        <v>1.0</v>
      </c>
      <c r="H5" s="37">
        <v>1.0</v>
      </c>
    </row>
    <row r="6">
      <c r="A6" s="37">
        <v>1.0</v>
      </c>
      <c r="B6" s="37">
        <v>1.0</v>
      </c>
      <c r="C6" s="37">
        <v>1.0</v>
      </c>
      <c r="D6" s="37">
        <v>1.0</v>
      </c>
      <c r="E6" s="37">
        <v>3.0</v>
      </c>
      <c r="F6" s="37">
        <v>3.0</v>
      </c>
      <c r="G6" s="37">
        <v>3.0</v>
      </c>
      <c r="H6" s="37">
        <v>3.0</v>
      </c>
    </row>
    <row r="7">
      <c r="A7" s="37">
        <v>1.0</v>
      </c>
      <c r="B7" s="37">
        <v>1.0</v>
      </c>
      <c r="C7" s="37">
        <v>1.0</v>
      </c>
      <c r="D7" s="37">
        <v>1.0</v>
      </c>
      <c r="E7" s="37">
        <v>2.0</v>
      </c>
      <c r="F7" s="37">
        <v>2.0</v>
      </c>
      <c r="G7" s="37">
        <v>2.0</v>
      </c>
      <c r="H7" s="37">
        <v>2.0</v>
      </c>
    </row>
    <row r="8">
      <c r="A8" s="37">
        <v>1.0</v>
      </c>
      <c r="B8" s="37">
        <v>1.0</v>
      </c>
      <c r="C8" s="37">
        <v>1.0</v>
      </c>
      <c r="D8" s="37">
        <v>1.0</v>
      </c>
      <c r="E8" s="37">
        <v>3.0</v>
      </c>
      <c r="F8" s="37">
        <v>4.0</v>
      </c>
      <c r="G8" s="37">
        <v>4.0</v>
      </c>
      <c r="H8" s="37">
        <v>4.0</v>
      </c>
    </row>
    <row r="9">
      <c r="A9" s="37">
        <v>1.0</v>
      </c>
      <c r="B9" s="37">
        <v>1.0</v>
      </c>
      <c r="C9" s="37">
        <v>2.0</v>
      </c>
      <c r="D9" s="37">
        <v>1.0</v>
      </c>
      <c r="E9" s="37">
        <v>3.0</v>
      </c>
      <c r="F9" s="37">
        <v>3.0</v>
      </c>
      <c r="G9" s="37">
        <v>3.0</v>
      </c>
      <c r="H9" s="37">
        <v>3.0</v>
      </c>
    </row>
    <row r="10">
      <c r="A10" s="37">
        <v>2.0</v>
      </c>
      <c r="B10" s="37">
        <v>2.0</v>
      </c>
      <c r="C10" s="37">
        <v>2.0</v>
      </c>
      <c r="D10" s="37">
        <v>3.0</v>
      </c>
      <c r="E10" s="37">
        <v>3.0</v>
      </c>
      <c r="F10" s="37">
        <v>2.0</v>
      </c>
      <c r="G10" s="37">
        <v>1.0</v>
      </c>
      <c r="H10" s="37">
        <v>2.0</v>
      </c>
    </row>
    <row r="11">
      <c r="A11" s="37">
        <v>2.0</v>
      </c>
      <c r="B11" s="37">
        <v>1.0</v>
      </c>
      <c r="C11" s="37">
        <v>2.0</v>
      </c>
      <c r="D11" s="37">
        <v>2.0</v>
      </c>
      <c r="E11" s="37">
        <v>3.0</v>
      </c>
      <c r="F11" s="37">
        <v>3.0</v>
      </c>
      <c r="G11" s="37">
        <v>3.0</v>
      </c>
      <c r="H11" s="37">
        <v>4.0</v>
      </c>
    </row>
    <row r="12">
      <c r="A12" s="37">
        <v>1.0</v>
      </c>
      <c r="B12" s="37">
        <v>2.0</v>
      </c>
      <c r="C12" s="37">
        <v>2.0</v>
      </c>
      <c r="D12" s="37">
        <v>1.0</v>
      </c>
      <c r="E12" s="37">
        <v>2.0</v>
      </c>
      <c r="F12" s="37">
        <v>3.0</v>
      </c>
      <c r="G12" s="37">
        <v>2.0</v>
      </c>
      <c r="H12" s="37">
        <v>1.0</v>
      </c>
    </row>
    <row r="13">
      <c r="A13" s="37">
        <v>2.0</v>
      </c>
      <c r="B13" s="37">
        <v>2.0</v>
      </c>
      <c r="C13" s="37">
        <v>2.0</v>
      </c>
      <c r="D13" s="37">
        <v>2.0</v>
      </c>
      <c r="E13" s="40"/>
      <c r="F13" s="40"/>
      <c r="G13" s="37">
        <v>3.0</v>
      </c>
      <c r="H13" s="40"/>
    </row>
    <row r="14">
      <c r="A14" s="37">
        <v>1.0</v>
      </c>
      <c r="B14" s="37">
        <v>1.0</v>
      </c>
      <c r="C14" s="37">
        <v>1.0</v>
      </c>
      <c r="D14" s="37">
        <v>1.0</v>
      </c>
      <c r="E14" s="37">
        <v>4.0</v>
      </c>
      <c r="F14" s="37">
        <v>4.0</v>
      </c>
      <c r="G14" s="37">
        <v>3.0</v>
      </c>
      <c r="H14" s="37">
        <v>2.0</v>
      </c>
    </row>
    <row r="15">
      <c r="A15" s="37">
        <v>1.0</v>
      </c>
      <c r="B15" s="37">
        <v>1.0</v>
      </c>
      <c r="C15" s="37">
        <v>1.0</v>
      </c>
      <c r="D15" s="37">
        <v>2.0</v>
      </c>
      <c r="E15" s="37">
        <v>1.0</v>
      </c>
      <c r="F15" s="37">
        <v>1.0</v>
      </c>
      <c r="G15" s="37">
        <v>2.0</v>
      </c>
      <c r="H15" s="37">
        <v>2.0</v>
      </c>
    </row>
    <row r="16">
      <c r="A16" s="37">
        <v>2.0</v>
      </c>
      <c r="B16" s="37">
        <v>2.0</v>
      </c>
      <c r="C16" s="37">
        <v>2.0</v>
      </c>
      <c r="D16" s="37">
        <v>2.0</v>
      </c>
      <c r="E16" s="37">
        <v>2.0</v>
      </c>
      <c r="F16" s="37">
        <v>2.0</v>
      </c>
      <c r="G16" s="37">
        <v>2.0</v>
      </c>
      <c r="H16" s="37">
        <v>3.0</v>
      </c>
    </row>
    <row r="17">
      <c r="A17" s="37">
        <v>1.0</v>
      </c>
      <c r="B17" s="37">
        <v>1.0</v>
      </c>
      <c r="C17" s="37">
        <v>1.0</v>
      </c>
      <c r="D17" s="37">
        <v>1.0</v>
      </c>
      <c r="E17" s="37">
        <v>4.0</v>
      </c>
      <c r="F17" s="37">
        <v>4.0</v>
      </c>
      <c r="G17" s="37">
        <v>2.0</v>
      </c>
      <c r="H17" s="37">
        <v>2.0</v>
      </c>
    </row>
    <row r="18">
      <c r="A18" s="37">
        <v>3.0</v>
      </c>
      <c r="B18" s="37">
        <v>2.0</v>
      </c>
      <c r="C18" s="37">
        <v>2.0</v>
      </c>
      <c r="D18" s="37">
        <v>2.0</v>
      </c>
      <c r="E18" s="37">
        <v>1.0</v>
      </c>
      <c r="F18" s="37">
        <v>1.0</v>
      </c>
      <c r="G18" s="37">
        <v>2.0</v>
      </c>
      <c r="H18" s="37">
        <v>1.0</v>
      </c>
    </row>
    <row r="19">
      <c r="A19" s="37">
        <v>3.0</v>
      </c>
      <c r="B19" s="37">
        <v>3.0</v>
      </c>
      <c r="C19" s="37">
        <v>3.0</v>
      </c>
      <c r="D19" s="37">
        <v>4.0</v>
      </c>
      <c r="E19" s="37">
        <v>2.0</v>
      </c>
      <c r="F19" s="37">
        <v>3.0</v>
      </c>
      <c r="G19" s="37">
        <v>3.0</v>
      </c>
      <c r="H19" s="37">
        <v>4.0</v>
      </c>
    </row>
    <row r="20">
      <c r="A20" s="37">
        <v>2.0</v>
      </c>
      <c r="B20" s="37">
        <v>2.0</v>
      </c>
      <c r="C20" s="37">
        <v>2.0</v>
      </c>
      <c r="D20" s="37">
        <v>2.0</v>
      </c>
      <c r="E20" s="37">
        <v>2.0</v>
      </c>
      <c r="F20" s="37">
        <v>2.0</v>
      </c>
      <c r="G20" s="37">
        <v>2.0</v>
      </c>
      <c r="H20" s="37">
        <v>2.0</v>
      </c>
    </row>
    <row r="21">
      <c r="A21" s="37">
        <v>1.0</v>
      </c>
      <c r="B21" s="37">
        <v>2.0</v>
      </c>
      <c r="C21" s="37">
        <v>2.0</v>
      </c>
      <c r="D21" s="37">
        <v>1.0</v>
      </c>
      <c r="E21" s="37">
        <v>1.0</v>
      </c>
      <c r="F21" s="37">
        <v>1.0</v>
      </c>
      <c r="G21" s="37">
        <v>2.0</v>
      </c>
      <c r="H21" s="37">
        <v>1.0</v>
      </c>
    </row>
    <row r="22">
      <c r="A22" s="37">
        <v>2.0</v>
      </c>
      <c r="B22" s="37">
        <v>2.0</v>
      </c>
      <c r="C22" s="37">
        <v>2.0</v>
      </c>
      <c r="D22" s="37">
        <v>2.0</v>
      </c>
      <c r="E22" s="37">
        <v>2.0</v>
      </c>
      <c r="F22" s="37">
        <v>2.0</v>
      </c>
      <c r="G22" s="37">
        <v>2.0</v>
      </c>
      <c r="H22" s="37">
        <v>2.0</v>
      </c>
    </row>
    <row r="23">
      <c r="A23" s="37">
        <v>1.0</v>
      </c>
      <c r="B23" s="37">
        <v>1.0</v>
      </c>
      <c r="C23" s="37">
        <v>1.0</v>
      </c>
      <c r="D23" s="37">
        <v>1.0</v>
      </c>
      <c r="E23" s="37">
        <v>2.0</v>
      </c>
      <c r="F23" s="37">
        <v>3.0</v>
      </c>
      <c r="G23" s="37">
        <v>3.0</v>
      </c>
      <c r="H23" s="37">
        <v>2.0</v>
      </c>
    </row>
    <row r="24">
      <c r="A24" s="37">
        <v>2.0</v>
      </c>
      <c r="B24" s="37">
        <v>2.0</v>
      </c>
      <c r="C24" s="37">
        <v>3.0</v>
      </c>
      <c r="D24" s="37">
        <v>2.0</v>
      </c>
      <c r="E24" s="37">
        <v>2.0</v>
      </c>
      <c r="F24" s="37">
        <v>3.0</v>
      </c>
      <c r="G24" s="37">
        <v>4.0</v>
      </c>
      <c r="H24" s="37">
        <v>3.0</v>
      </c>
    </row>
    <row r="25">
      <c r="A25" s="37">
        <v>1.0</v>
      </c>
      <c r="B25" s="37">
        <v>1.0</v>
      </c>
      <c r="C25" s="37">
        <v>1.0</v>
      </c>
      <c r="D25" s="37">
        <v>1.0</v>
      </c>
      <c r="E25" s="37">
        <v>1.0</v>
      </c>
      <c r="F25" s="37">
        <v>1.0</v>
      </c>
      <c r="G25" s="37">
        <v>1.0</v>
      </c>
      <c r="H25" s="37">
        <v>1.0</v>
      </c>
    </row>
    <row r="26">
      <c r="A26" s="37">
        <v>3.0</v>
      </c>
      <c r="B26" s="37">
        <v>3.0</v>
      </c>
      <c r="C26" s="37">
        <v>3.0</v>
      </c>
      <c r="D26" s="37">
        <v>3.0</v>
      </c>
      <c r="E26" s="37">
        <v>3.0</v>
      </c>
      <c r="F26" s="37">
        <v>3.0</v>
      </c>
      <c r="G26" s="37">
        <v>3.0</v>
      </c>
      <c r="H26" s="37">
        <v>3.0</v>
      </c>
    </row>
    <row r="27">
      <c r="A27" s="37">
        <v>1.0</v>
      </c>
      <c r="B27" s="37">
        <v>1.0</v>
      </c>
      <c r="C27" s="37">
        <v>1.0</v>
      </c>
      <c r="D27" s="37">
        <v>2.0</v>
      </c>
      <c r="E27" s="37">
        <v>1.0</v>
      </c>
      <c r="F27" s="37">
        <v>2.0</v>
      </c>
      <c r="G27" s="37">
        <v>1.0</v>
      </c>
      <c r="H27" s="37">
        <v>3.0</v>
      </c>
    </row>
    <row r="28">
      <c r="A28" s="37">
        <v>2.0</v>
      </c>
      <c r="B28" s="37">
        <v>1.0</v>
      </c>
      <c r="C28" s="37">
        <v>2.0</v>
      </c>
      <c r="D28" s="37">
        <v>2.0</v>
      </c>
      <c r="E28" s="37">
        <v>3.0</v>
      </c>
      <c r="F28" s="37">
        <v>3.0</v>
      </c>
      <c r="G28" s="37">
        <v>3.0</v>
      </c>
      <c r="H28" s="37">
        <v>3.0</v>
      </c>
    </row>
    <row r="29">
      <c r="A29" s="37">
        <v>1.0</v>
      </c>
      <c r="B29" s="37">
        <v>1.0</v>
      </c>
      <c r="C29" s="37">
        <v>2.0</v>
      </c>
      <c r="D29" s="40"/>
      <c r="E29" s="40"/>
      <c r="F29" s="40"/>
      <c r="G29" s="40"/>
      <c r="H29" s="40"/>
    </row>
    <row r="30">
      <c r="A30" s="37">
        <v>2.0</v>
      </c>
      <c r="B30" s="37">
        <v>1.0</v>
      </c>
      <c r="C30" s="37">
        <v>1.0</v>
      </c>
      <c r="D30" s="37">
        <v>2.0</v>
      </c>
      <c r="E30" s="37">
        <v>1.0</v>
      </c>
      <c r="F30" s="37">
        <v>3.0</v>
      </c>
      <c r="G30" s="37">
        <v>3.0</v>
      </c>
      <c r="H30" s="37">
        <v>2.0</v>
      </c>
    </row>
    <row r="31">
      <c r="A31" s="37">
        <v>2.0</v>
      </c>
      <c r="B31" s="37">
        <v>1.0</v>
      </c>
      <c r="C31" s="37">
        <v>2.0</v>
      </c>
      <c r="D31" s="37">
        <v>2.0</v>
      </c>
      <c r="E31" s="37">
        <v>3.0</v>
      </c>
      <c r="F31" s="37">
        <v>2.0</v>
      </c>
      <c r="G31" s="37">
        <v>2.0</v>
      </c>
      <c r="H31" s="37">
        <v>2.0</v>
      </c>
    </row>
    <row r="32">
      <c r="A32" s="37">
        <v>1.0</v>
      </c>
      <c r="B32" s="37">
        <v>1.0</v>
      </c>
      <c r="C32" s="37">
        <v>1.0</v>
      </c>
      <c r="D32" s="37">
        <v>1.0</v>
      </c>
      <c r="E32" s="37">
        <v>1.0</v>
      </c>
      <c r="F32" s="37">
        <v>1.0</v>
      </c>
      <c r="G32" s="37">
        <v>1.0</v>
      </c>
      <c r="H32" s="37">
        <v>1.0</v>
      </c>
    </row>
    <row r="33">
      <c r="A33" s="37">
        <v>1.0</v>
      </c>
      <c r="B33" s="37">
        <v>1.0</v>
      </c>
      <c r="C33" s="37">
        <v>2.0</v>
      </c>
      <c r="D33" s="37">
        <v>1.0</v>
      </c>
      <c r="E33" s="37">
        <v>2.0</v>
      </c>
      <c r="F33" s="37">
        <v>2.0</v>
      </c>
      <c r="G33" s="37">
        <v>3.0</v>
      </c>
      <c r="H33" s="37">
        <v>3.0</v>
      </c>
    </row>
    <row r="34">
      <c r="A34" s="37">
        <v>3.0</v>
      </c>
      <c r="B34" s="37">
        <v>2.0</v>
      </c>
      <c r="C34" s="37">
        <v>1.0</v>
      </c>
      <c r="D34" s="37">
        <v>2.0</v>
      </c>
      <c r="E34" s="37">
        <v>3.0</v>
      </c>
      <c r="F34" s="37">
        <v>3.0</v>
      </c>
      <c r="G34" s="37">
        <v>2.0</v>
      </c>
      <c r="H34" s="37">
        <v>2.0</v>
      </c>
    </row>
    <row r="35">
      <c r="A35" s="37">
        <v>3.0</v>
      </c>
      <c r="B35" s="37">
        <v>3.0</v>
      </c>
      <c r="C35" s="37">
        <v>3.0</v>
      </c>
      <c r="D35" s="37">
        <v>3.0</v>
      </c>
      <c r="E35" s="37">
        <v>3.0</v>
      </c>
      <c r="F35" s="37">
        <v>3.0</v>
      </c>
      <c r="G35" s="37">
        <v>4.0</v>
      </c>
      <c r="H35" s="37">
        <v>3.0</v>
      </c>
    </row>
    <row r="36">
      <c r="A36" s="37">
        <v>1.0</v>
      </c>
      <c r="B36" s="37">
        <v>1.0</v>
      </c>
      <c r="C36" s="37">
        <v>1.0</v>
      </c>
      <c r="D36" s="37">
        <v>1.0</v>
      </c>
      <c r="E36" s="37">
        <v>3.0</v>
      </c>
      <c r="F36" s="37">
        <v>3.0</v>
      </c>
      <c r="G36" s="37">
        <v>1.0</v>
      </c>
      <c r="H36" s="37">
        <v>2.0</v>
      </c>
    </row>
    <row r="37">
      <c r="A37" s="37">
        <v>1.0</v>
      </c>
      <c r="B37" s="37">
        <v>1.0</v>
      </c>
      <c r="C37" s="37">
        <v>2.0</v>
      </c>
      <c r="D37" s="37">
        <v>1.0</v>
      </c>
      <c r="E37" s="37">
        <v>3.0</v>
      </c>
      <c r="F37" s="37">
        <v>3.0</v>
      </c>
      <c r="G37" s="37">
        <v>4.0</v>
      </c>
      <c r="H37" s="37">
        <v>4.0</v>
      </c>
    </row>
    <row r="38">
      <c r="A38" s="37">
        <v>1.0</v>
      </c>
      <c r="B38" s="37">
        <v>1.0</v>
      </c>
      <c r="C38" s="37">
        <v>1.0</v>
      </c>
      <c r="D38" s="37">
        <v>1.0</v>
      </c>
      <c r="E38" s="37">
        <v>2.0</v>
      </c>
      <c r="F38" s="37">
        <v>2.0</v>
      </c>
      <c r="G38" s="37">
        <v>2.0</v>
      </c>
      <c r="H38" s="37">
        <v>1.0</v>
      </c>
    </row>
    <row r="39">
      <c r="A39" s="37">
        <v>1.0</v>
      </c>
      <c r="B39" s="37">
        <v>1.0</v>
      </c>
      <c r="C39" s="37">
        <v>1.0</v>
      </c>
      <c r="D39" s="37">
        <v>1.0</v>
      </c>
      <c r="E39" s="37">
        <v>1.0</v>
      </c>
      <c r="F39" s="37">
        <v>1.0</v>
      </c>
      <c r="G39" s="37">
        <v>1.0</v>
      </c>
      <c r="H39" s="37">
        <v>1.0</v>
      </c>
    </row>
    <row r="40">
      <c r="A40" s="37">
        <v>3.0</v>
      </c>
      <c r="B40" s="37">
        <v>3.0</v>
      </c>
      <c r="C40" s="37">
        <v>3.0</v>
      </c>
      <c r="D40" s="37">
        <v>3.0</v>
      </c>
      <c r="E40" s="37">
        <v>3.0</v>
      </c>
      <c r="F40" s="37">
        <v>3.0</v>
      </c>
      <c r="G40" s="37">
        <v>3.0</v>
      </c>
      <c r="H40" s="37">
        <v>3.0</v>
      </c>
    </row>
    <row r="41">
      <c r="A41" s="37">
        <v>1.0</v>
      </c>
      <c r="B41" s="37">
        <v>1.0</v>
      </c>
      <c r="C41" s="37">
        <v>1.0</v>
      </c>
      <c r="D41" s="37">
        <v>1.0</v>
      </c>
      <c r="E41" s="37">
        <v>1.0</v>
      </c>
      <c r="F41" s="37">
        <v>2.0</v>
      </c>
      <c r="G41" s="37">
        <v>1.0</v>
      </c>
      <c r="H41" s="37">
        <v>1.0</v>
      </c>
    </row>
    <row r="42">
      <c r="A42" s="37">
        <v>1.0</v>
      </c>
      <c r="B42" s="37">
        <v>1.0</v>
      </c>
      <c r="C42" s="37">
        <v>1.0</v>
      </c>
      <c r="D42" s="37">
        <v>1.0</v>
      </c>
      <c r="E42" s="37">
        <v>1.0</v>
      </c>
      <c r="F42" s="37">
        <v>3.0</v>
      </c>
      <c r="G42" s="37">
        <v>2.0</v>
      </c>
      <c r="H42" s="37">
        <v>2.0</v>
      </c>
    </row>
    <row r="43">
      <c r="A43" s="37">
        <v>3.0</v>
      </c>
      <c r="B43" s="37">
        <v>2.0</v>
      </c>
      <c r="C43" s="37">
        <v>3.0</v>
      </c>
      <c r="D43" s="37">
        <v>2.0</v>
      </c>
      <c r="E43" s="37">
        <v>3.0</v>
      </c>
      <c r="F43" s="37">
        <v>3.0</v>
      </c>
      <c r="G43" s="37">
        <v>3.0</v>
      </c>
      <c r="H43" s="37">
        <v>4.0</v>
      </c>
    </row>
    <row r="44">
      <c r="A44" s="37">
        <v>1.0</v>
      </c>
      <c r="B44" s="37">
        <v>1.0</v>
      </c>
      <c r="C44" s="37">
        <v>1.0</v>
      </c>
      <c r="D44" s="37">
        <v>1.0</v>
      </c>
      <c r="E44" s="37">
        <v>3.0</v>
      </c>
      <c r="F44" s="37">
        <v>2.0</v>
      </c>
      <c r="G44" s="37">
        <v>2.0</v>
      </c>
      <c r="H44" s="37">
        <v>2.0</v>
      </c>
    </row>
    <row r="45">
      <c r="A45" s="37">
        <v>1.0</v>
      </c>
      <c r="B45" s="37">
        <v>1.0</v>
      </c>
      <c r="C45" s="37">
        <v>1.0</v>
      </c>
      <c r="D45" s="37">
        <v>1.0</v>
      </c>
      <c r="E45" s="37">
        <v>2.0</v>
      </c>
      <c r="F45" s="37">
        <v>2.0</v>
      </c>
      <c r="G45" s="37">
        <v>2.0</v>
      </c>
      <c r="H45" s="37">
        <v>2.0</v>
      </c>
    </row>
    <row r="46">
      <c r="A46" s="37">
        <v>1.0</v>
      </c>
      <c r="B46" s="37">
        <v>1.0</v>
      </c>
      <c r="C46" s="37">
        <v>1.0</v>
      </c>
      <c r="D46" s="37">
        <v>1.0</v>
      </c>
      <c r="E46" s="37">
        <v>2.0</v>
      </c>
      <c r="F46" s="37">
        <v>2.0</v>
      </c>
      <c r="G46" s="37">
        <v>2.0</v>
      </c>
      <c r="H46" s="37">
        <v>2.0</v>
      </c>
    </row>
    <row r="47">
      <c r="A47" s="37">
        <v>1.0</v>
      </c>
      <c r="B47" s="37">
        <v>2.0</v>
      </c>
      <c r="C47" s="37">
        <v>1.0</v>
      </c>
      <c r="D47" s="37">
        <v>2.0</v>
      </c>
      <c r="E47" s="37">
        <v>3.0</v>
      </c>
      <c r="F47" s="37">
        <v>3.0</v>
      </c>
      <c r="G47" s="37">
        <v>2.0</v>
      </c>
      <c r="H47" s="37">
        <v>3.0</v>
      </c>
    </row>
    <row r="48">
      <c r="A48" s="37">
        <v>3.0</v>
      </c>
      <c r="B48" s="37">
        <v>2.0</v>
      </c>
      <c r="C48" s="37">
        <v>2.0</v>
      </c>
      <c r="D48" s="37">
        <v>2.0</v>
      </c>
      <c r="E48" s="37">
        <v>3.0</v>
      </c>
      <c r="F48" s="37">
        <v>3.0</v>
      </c>
      <c r="G48" s="37">
        <v>3.0</v>
      </c>
      <c r="H48" s="37">
        <v>3.0</v>
      </c>
    </row>
    <row r="49">
      <c r="A49" s="37">
        <v>1.0</v>
      </c>
      <c r="B49" s="37">
        <v>1.0</v>
      </c>
      <c r="C49" s="37">
        <v>1.0</v>
      </c>
      <c r="D49" s="37">
        <v>1.0</v>
      </c>
      <c r="E49" s="37">
        <v>3.0</v>
      </c>
      <c r="F49" s="37">
        <v>2.0</v>
      </c>
      <c r="G49" s="37">
        <v>2.0</v>
      </c>
      <c r="H49" s="37">
        <v>2.0</v>
      </c>
    </row>
    <row r="50">
      <c r="A50" s="37">
        <v>1.0</v>
      </c>
      <c r="B50" s="37">
        <v>2.0</v>
      </c>
      <c r="C50" s="37">
        <v>1.0</v>
      </c>
      <c r="D50" s="37">
        <v>2.0</v>
      </c>
      <c r="E50" s="37">
        <v>2.0</v>
      </c>
      <c r="F50" s="37">
        <v>2.0</v>
      </c>
      <c r="G50" s="37">
        <v>3.0</v>
      </c>
      <c r="H50" s="37">
        <v>2.0</v>
      </c>
    </row>
    <row r="51">
      <c r="A51" s="37">
        <v>4.0</v>
      </c>
      <c r="B51" s="37">
        <v>3.0</v>
      </c>
      <c r="C51" s="37">
        <v>3.0</v>
      </c>
      <c r="D51" s="37">
        <v>3.0</v>
      </c>
      <c r="E51" s="37">
        <v>3.0</v>
      </c>
      <c r="F51" s="37">
        <v>3.0</v>
      </c>
      <c r="G51" s="37">
        <v>3.0</v>
      </c>
      <c r="H51" s="37">
        <v>4.0</v>
      </c>
    </row>
    <row r="52">
      <c r="A52" s="37">
        <v>1.0</v>
      </c>
      <c r="B52" s="37">
        <v>1.0</v>
      </c>
      <c r="C52" s="37">
        <v>1.0</v>
      </c>
      <c r="D52" s="37">
        <v>1.0</v>
      </c>
      <c r="E52" s="37">
        <v>3.0</v>
      </c>
      <c r="F52" s="37">
        <v>3.0</v>
      </c>
      <c r="G52" s="37">
        <v>2.0</v>
      </c>
      <c r="H52" s="37">
        <v>3.0</v>
      </c>
    </row>
    <row r="53">
      <c r="A53" s="37">
        <v>3.0</v>
      </c>
      <c r="B53" s="37">
        <v>3.0</v>
      </c>
      <c r="C53" s="37">
        <v>4.0</v>
      </c>
      <c r="D53" s="37">
        <v>3.0</v>
      </c>
      <c r="E53" s="37">
        <v>5.0</v>
      </c>
      <c r="F53" s="37">
        <v>5.0</v>
      </c>
      <c r="G53" s="37">
        <v>4.0</v>
      </c>
      <c r="H53" s="37">
        <v>4.0</v>
      </c>
    </row>
    <row r="54">
      <c r="A54" s="37">
        <v>1.0</v>
      </c>
      <c r="B54" s="37">
        <v>1.0</v>
      </c>
      <c r="C54" s="37">
        <v>1.0</v>
      </c>
      <c r="D54" s="37">
        <v>1.0</v>
      </c>
      <c r="E54" s="37">
        <v>1.0</v>
      </c>
      <c r="F54" s="37">
        <v>3.0</v>
      </c>
      <c r="G54" s="37">
        <v>2.0</v>
      </c>
      <c r="H54" s="37">
        <v>1.0</v>
      </c>
    </row>
    <row r="55">
      <c r="A55" s="37">
        <v>1.0</v>
      </c>
      <c r="B55" s="37">
        <v>1.0</v>
      </c>
      <c r="C55" s="37">
        <v>1.0</v>
      </c>
      <c r="D55" s="37">
        <v>1.0</v>
      </c>
      <c r="E55" s="37">
        <v>1.0</v>
      </c>
      <c r="F55" s="37">
        <v>2.0</v>
      </c>
      <c r="G55" s="37">
        <v>2.0</v>
      </c>
      <c r="H55" s="37">
        <v>2.0</v>
      </c>
    </row>
    <row r="56">
      <c r="A56" s="37">
        <v>3.0</v>
      </c>
      <c r="B56" s="37">
        <v>3.0</v>
      </c>
      <c r="C56" s="37">
        <v>2.0</v>
      </c>
      <c r="D56" s="37">
        <v>2.0</v>
      </c>
      <c r="E56" s="37">
        <v>2.0</v>
      </c>
      <c r="F56" s="37">
        <v>2.0</v>
      </c>
      <c r="G56" s="37">
        <v>3.0</v>
      </c>
      <c r="H56" s="37">
        <v>3.0</v>
      </c>
    </row>
    <row r="57">
      <c r="A57" s="37">
        <v>2.0</v>
      </c>
      <c r="B57" s="37">
        <v>3.0</v>
      </c>
      <c r="C57" s="37">
        <v>1.0</v>
      </c>
      <c r="D57" s="37">
        <v>1.0</v>
      </c>
      <c r="E57" s="37">
        <v>1.0</v>
      </c>
      <c r="F57" s="37">
        <v>2.0</v>
      </c>
      <c r="G57" s="37">
        <v>1.0</v>
      </c>
      <c r="H57" s="37">
        <v>1.0</v>
      </c>
    </row>
    <row r="58">
      <c r="A58" s="37">
        <v>1.0</v>
      </c>
      <c r="B58" s="37">
        <v>1.0</v>
      </c>
      <c r="C58" s="37">
        <v>1.0</v>
      </c>
      <c r="D58" s="37">
        <v>1.0</v>
      </c>
      <c r="E58" s="37">
        <v>1.0</v>
      </c>
      <c r="F58" s="37">
        <v>1.0</v>
      </c>
      <c r="G58" s="37">
        <v>1.0</v>
      </c>
      <c r="H58" s="37">
        <v>1.0</v>
      </c>
    </row>
    <row r="59">
      <c r="A59" s="37">
        <v>1.0</v>
      </c>
      <c r="B59" s="37">
        <v>1.0</v>
      </c>
      <c r="C59" s="37">
        <v>1.0</v>
      </c>
      <c r="D59" s="37">
        <v>1.0</v>
      </c>
      <c r="E59" s="37">
        <v>1.0</v>
      </c>
      <c r="F59" s="37">
        <v>1.0</v>
      </c>
      <c r="G59" s="37">
        <v>1.0</v>
      </c>
      <c r="H59" s="37">
        <v>2.0</v>
      </c>
    </row>
    <row r="60">
      <c r="A60" s="37">
        <v>1.0</v>
      </c>
      <c r="B60" s="37">
        <v>1.0</v>
      </c>
      <c r="C60" s="37">
        <v>1.0</v>
      </c>
      <c r="D60" s="37">
        <v>1.0</v>
      </c>
      <c r="E60" s="37">
        <v>2.0</v>
      </c>
      <c r="F60" s="37">
        <v>1.0</v>
      </c>
      <c r="G60" s="37">
        <v>1.0</v>
      </c>
      <c r="H60" s="37">
        <v>2.0</v>
      </c>
    </row>
    <row r="61">
      <c r="A61" s="47">
        <f t="shared" ref="A61:H61" si="1">MEDIAN(A3:A60)</f>
        <v>1</v>
      </c>
      <c r="B61" s="47">
        <f t="shared" si="1"/>
        <v>1</v>
      </c>
      <c r="C61" s="47">
        <f t="shared" si="1"/>
        <v>1</v>
      </c>
      <c r="D61" s="47">
        <f t="shared" si="1"/>
        <v>1</v>
      </c>
      <c r="E61" s="47">
        <f t="shared" si="1"/>
        <v>2</v>
      </c>
      <c r="F61" s="47">
        <f t="shared" si="1"/>
        <v>2</v>
      </c>
      <c r="G61" s="47">
        <f t="shared" si="1"/>
        <v>2</v>
      </c>
      <c r="H61" s="47">
        <f t="shared" si="1"/>
        <v>2</v>
      </c>
    </row>
    <row r="62">
      <c r="A62" s="47">
        <f t="shared" ref="A62:H62" si="2">AVERAGE(A3:A60)</f>
        <v>1.637931034</v>
      </c>
      <c r="B62" s="47">
        <f t="shared" si="2"/>
        <v>1.568965517</v>
      </c>
      <c r="C62" s="47">
        <f t="shared" si="2"/>
        <v>1.706896552</v>
      </c>
      <c r="D62" s="47">
        <f t="shared" si="2"/>
        <v>1.631578947</v>
      </c>
      <c r="E62" s="47">
        <f t="shared" si="2"/>
        <v>2.25</v>
      </c>
      <c r="F62" s="47">
        <f t="shared" si="2"/>
        <v>2.410714286</v>
      </c>
      <c r="G62" s="47">
        <f t="shared" si="2"/>
        <v>2.298245614</v>
      </c>
      <c r="H62" s="47">
        <f t="shared" si="2"/>
        <v>2.321428571</v>
      </c>
    </row>
    <row r="63">
      <c r="A63" s="47"/>
      <c r="B63" s="47"/>
      <c r="C63" s="47"/>
      <c r="D63" s="47"/>
      <c r="E63" s="47"/>
      <c r="F63" s="47"/>
      <c r="G63" s="47"/>
      <c r="H63" s="47"/>
    </row>
    <row r="64">
      <c r="A64" s="47"/>
      <c r="B64" s="47"/>
      <c r="C64" s="47"/>
      <c r="D64" s="47"/>
      <c r="E64" s="47"/>
      <c r="F64" s="47"/>
      <c r="G64" s="47"/>
      <c r="H64" s="47"/>
    </row>
    <row r="65">
      <c r="A65" s="48" t="s">
        <v>41</v>
      </c>
      <c r="B65" s="48" t="s">
        <v>72</v>
      </c>
      <c r="C65" s="48" t="s">
        <v>83</v>
      </c>
      <c r="D65" s="48"/>
      <c r="E65" s="48"/>
      <c r="F65" s="47"/>
      <c r="G65" s="47"/>
      <c r="H65" s="47"/>
    </row>
    <row r="66">
      <c r="A66" s="48" t="s">
        <v>432</v>
      </c>
      <c r="B66" s="48">
        <v>1.64</v>
      </c>
      <c r="C66" s="48">
        <v>1.0</v>
      </c>
      <c r="F66" s="47"/>
      <c r="G66" s="47"/>
      <c r="H66" s="47"/>
    </row>
    <row r="67">
      <c r="A67" s="48" t="s">
        <v>434</v>
      </c>
      <c r="B67" s="48">
        <v>1.57</v>
      </c>
      <c r="C67" s="48">
        <v>1.0</v>
      </c>
      <c r="F67" s="47"/>
    </row>
    <row r="68">
      <c r="A68" s="48" t="s">
        <v>436</v>
      </c>
      <c r="B68" s="48">
        <v>1.7</v>
      </c>
      <c r="C68" s="48">
        <v>1.0</v>
      </c>
      <c r="F68" s="47"/>
    </row>
    <row r="69">
      <c r="A69" s="48" t="s">
        <v>437</v>
      </c>
      <c r="B69" s="48">
        <v>1.63</v>
      </c>
      <c r="C69" s="48">
        <v>1.0</v>
      </c>
      <c r="F69" s="47"/>
    </row>
    <row r="70">
      <c r="A70" s="48" t="s">
        <v>439</v>
      </c>
      <c r="B70" s="48">
        <v>2.25</v>
      </c>
      <c r="C70" s="48">
        <v>2.0</v>
      </c>
      <c r="D70" s="47"/>
      <c r="E70" s="47"/>
      <c r="F70" s="47"/>
    </row>
    <row r="71">
      <c r="A71" s="48" t="s">
        <v>440</v>
      </c>
      <c r="B71" s="48">
        <v>2.41</v>
      </c>
      <c r="C71" s="48">
        <v>2.0</v>
      </c>
      <c r="D71" s="47"/>
      <c r="E71" s="47"/>
      <c r="F71" s="47"/>
    </row>
    <row r="72">
      <c r="A72" s="48" t="s">
        <v>441</v>
      </c>
      <c r="B72" s="48">
        <v>2.3</v>
      </c>
      <c r="C72" s="48">
        <v>2.0</v>
      </c>
      <c r="D72" s="47"/>
      <c r="E72" s="47"/>
      <c r="F72" s="47"/>
    </row>
    <row r="73">
      <c r="A73" s="48" t="s">
        <v>444</v>
      </c>
      <c r="B73" s="48">
        <v>2.32</v>
      </c>
      <c r="C73" s="48">
        <v>2.0</v>
      </c>
      <c r="D73" s="47"/>
      <c r="E73" s="47"/>
      <c r="F73" s="47"/>
    </row>
    <row r="74">
      <c r="A74" s="47"/>
      <c r="B74" s="47"/>
      <c r="C74" s="47"/>
      <c r="D74" s="47"/>
      <c r="E74" s="47"/>
      <c r="F74" s="47"/>
    </row>
    <row r="75">
      <c r="A75" s="47"/>
      <c r="B75" s="47"/>
      <c r="C75" s="47"/>
      <c r="D75" s="47"/>
      <c r="E75" s="47"/>
      <c r="F75" s="47"/>
    </row>
    <row r="76">
      <c r="A76" s="47"/>
      <c r="B76" s="47"/>
      <c r="C76" s="47"/>
      <c r="D76" s="47"/>
      <c r="E76" s="47"/>
      <c r="F76" s="47"/>
      <c r="G76" s="47"/>
      <c r="H76" s="47"/>
    </row>
    <row r="77">
      <c r="A77" s="47"/>
      <c r="B77" s="47"/>
      <c r="C77" s="47"/>
      <c r="D77" s="47"/>
      <c r="E77" s="47"/>
      <c r="F77" s="47"/>
      <c r="G77" s="47"/>
      <c r="H77" s="47"/>
    </row>
    <row r="78">
      <c r="A78" s="47"/>
      <c r="B78" s="47"/>
      <c r="C78" s="47"/>
      <c r="D78" s="47"/>
      <c r="E78" s="47"/>
      <c r="F78" s="47"/>
      <c r="G78" s="47"/>
      <c r="H78" s="47"/>
    </row>
    <row r="79">
      <c r="A79" s="47"/>
      <c r="B79" s="47"/>
      <c r="C79" s="47"/>
      <c r="D79" s="47"/>
      <c r="E79" s="47"/>
      <c r="F79" s="47"/>
      <c r="G79" s="47"/>
      <c r="H79" s="47"/>
    </row>
    <row r="80">
      <c r="A80" s="47"/>
      <c r="B80" s="47"/>
      <c r="C80" s="47"/>
      <c r="D80" s="47"/>
      <c r="E80" s="47"/>
      <c r="F80" s="47"/>
      <c r="G80" s="47"/>
      <c r="H80" s="47"/>
    </row>
    <row r="81">
      <c r="A81" s="47"/>
      <c r="B81" s="47"/>
      <c r="C81" s="47"/>
      <c r="D81" s="47"/>
      <c r="E81" s="47"/>
      <c r="F81" s="47"/>
      <c r="G81" s="47"/>
      <c r="H81" s="47"/>
    </row>
    <row r="82">
      <c r="A82" s="47"/>
      <c r="B82" s="47"/>
      <c r="C82" s="47"/>
      <c r="D82" s="47"/>
      <c r="E82" s="47"/>
      <c r="F82" s="47"/>
      <c r="G82" s="47"/>
      <c r="H82" s="47"/>
    </row>
    <row r="83">
      <c r="A83" s="47"/>
      <c r="B83" s="47"/>
      <c r="C83" s="47"/>
      <c r="D83" s="47"/>
      <c r="E83" s="47"/>
      <c r="F83" s="47"/>
      <c r="G83" s="47"/>
      <c r="H83" s="47"/>
    </row>
    <row r="84">
      <c r="A84" s="47"/>
      <c r="B84" s="47"/>
      <c r="C84" s="47"/>
      <c r="D84" s="47"/>
      <c r="E84" s="47"/>
      <c r="F84" s="47"/>
      <c r="G84" s="47"/>
      <c r="H84" s="47"/>
    </row>
    <row r="85">
      <c r="A85" s="47"/>
      <c r="B85" s="47"/>
      <c r="C85" s="47"/>
      <c r="D85" s="47"/>
      <c r="E85" s="47"/>
      <c r="F85" s="47"/>
      <c r="G85" s="47"/>
      <c r="H85" s="47"/>
    </row>
    <row r="86">
      <c r="A86" s="47"/>
      <c r="B86" s="47"/>
      <c r="C86" s="47"/>
      <c r="D86" s="47"/>
      <c r="E86" s="47"/>
      <c r="F86" s="47"/>
      <c r="G86" s="47"/>
      <c r="H86" s="47"/>
    </row>
    <row r="87">
      <c r="A87" s="47"/>
      <c r="B87" s="47"/>
      <c r="C87" s="47"/>
      <c r="D87" s="47"/>
      <c r="E87" s="47"/>
      <c r="F87" s="47"/>
      <c r="G87" s="47"/>
      <c r="H87" s="47"/>
    </row>
    <row r="88">
      <c r="A88" s="47"/>
      <c r="B88" s="47"/>
      <c r="C88" s="47"/>
      <c r="D88" s="47"/>
      <c r="E88" s="47"/>
      <c r="F88" s="47"/>
      <c r="G88" s="47"/>
      <c r="H88" s="47"/>
    </row>
    <row r="89">
      <c r="A89" s="47"/>
      <c r="B89" s="47"/>
      <c r="C89" s="47"/>
      <c r="D89" s="47"/>
      <c r="E89" s="47"/>
      <c r="F89" s="47"/>
      <c r="G89" s="47"/>
      <c r="H89" s="47"/>
    </row>
    <row r="90">
      <c r="A90" s="47"/>
      <c r="B90" s="47"/>
      <c r="C90" s="47"/>
      <c r="D90" s="47"/>
      <c r="E90" s="47"/>
      <c r="F90" s="47"/>
      <c r="G90" s="47"/>
      <c r="H90" s="47"/>
    </row>
    <row r="91">
      <c r="A91" s="47"/>
      <c r="B91" s="47"/>
      <c r="C91" s="47"/>
      <c r="D91" s="47"/>
      <c r="E91" s="47"/>
      <c r="F91" s="47"/>
      <c r="G91" s="47"/>
      <c r="H91" s="47"/>
    </row>
    <row r="92">
      <c r="A92" s="47"/>
      <c r="B92" s="47"/>
      <c r="C92" s="47"/>
      <c r="D92" s="47"/>
      <c r="E92" s="47"/>
      <c r="F92" s="47"/>
      <c r="G92" s="47"/>
      <c r="H92" s="47"/>
    </row>
    <row r="93">
      <c r="A93" s="47"/>
      <c r="B93" s="47"/>
      <c r="C93" s="47"/>
      <c r="D93" s="47"/>
      <c r="E93" s="47"/>
      <c r="F93" s="47"/>
      <c r="G93" s="47"/>
      <c r="H93" s="47"/>
    </row>
    <row r="94">
      <c r="A94" s="47"/>
      <c r="B94" s="47"/>
      <c r="C94" s="47"/>
      <c r="D94" s="47"/>
      <c r="E94" s="47"/>
      <c r="F94" s="47"/>
      <c r="G94" s="47"/>
      <c r="H94" s="47"/>
    </row>
    <row r="95">
      <c r="A95" s="47"/>
      <c r="B95" s="47"/>
      <c r="C95" s="47"/>
      <c r="D95" s="47"/>
      <c r="E95" s="47"/>
      <c r="F95" s="47"/>
      <c r="G95" s="47"/>
      <c r="H95" s="47"/>
    </row>
    <row r="96">
      <c r="A96" s="47"/>
      <c r="B96" s="47"/>
      <c r="C96" s="47"/>
      <c r="D96" s="47"/>
      <c r="E96" s="47"/>
      <c r="F96" s="47"/>
      <c r="G96" s="47"/>
      <c r="H96" s="47"/>
    </row>
    <row r="97">
      <c r="A97" s="47"/>
      <c r="B97" s="47"/>
      <c r="C97" s="47"/>
      <c r="D97" s="47"/>
      <c r="E97" s="47"/>
      <c r="F97" s="47"/>
      <c r="G97" s="47"/>
      <c r="H97" s="47"/>
    </row>
    <row r="98">
      <c r="A98" s="47"/>
      <c r="B98" s="47"/>
      <c r="C98" s="47"/>
      <c r="D98" s="47"/>
      <c r="E98" s="47"/>
      <c r="F98" s="47"/>
      <c r="G98" s="47"/>
      <c r="H98" s="47"/>
    </row>
    <row r="99">
      <c r="A99" s="47"/>
      <c r="B99" s="47"/>
      <c r="C99" s="47"/>
      <c r="D99" s="47"/>
      <c r="E99" s="47"/>
      <c r="F99" s="47"/>
      <c r="G99" s="47"/>
      <c r="H99" s="47"/>
    </row>
    <row r="100">
      <c r="A100" s="47"/>
      <c r="B100" s="47"/>
      <c r="C100" s="47"/>
      <c r="D100" s="47"/>
      <c r="E100" s="47"/>
      <c r="F100" s="47"/>
      <c r="G100" s="47"/>
      <c r="H100" s="47"/>
    </row>
    <row r="101">
      <c r="A101" s="47"/>
      <c r="B101" s="47"/>
      <c r="C101" s="47"/>
      <c r="D101" s="47"/>
      <c r="E101" s="47"/>
      <c r="F101" s="47"/>
      <c r="G101" s="47"/>
      <c r="H101" s="47"/>
    </row>
    <row r="102">
      <c r="A102" s="47"/>
      <c r="B102" s="47"/>
      <c r="C102" s="47"/>
      <c r="D102" s="47"/>
      <c r="E102" s="47"/>
      <c r="F102" s="47"/>
      <c r="G102" s="47"/>
      <c r="H102" s="47"/>
    </row>
    <row r="103">
      <c r="A103" s="47"/>
      <c r="B103" s="47"/>
      <c r="C103" s="47"/>
      <c r="D103" s="47"/>
      <c r="E103" s="47"/>
      <c r="F103" s="47"/>
      <c r="G103" s="47"/>
      <c r="H103" s="47"/>
    </row>
    <row r="104">
      <c r="A104" s="47"/>
      <c r="B104" s="47"/>
      <c r="C104" s="47"/>
      <c r="D104" s="47"/>
      <c r="E104" s="47"/>
      <c r="F104" s="47"/>
      <c r="G104" s="47"/>
      <c r="H104" s="47"/>
    </row>
    <row r="105">
      <c r="A105" s="47"/>
      <c r="B105" s="47"/>
      <c r="C105" s="47"/>
      <c r="D105" s="47"/>
      <c r="E105" s="47"/>
      <c r="F105" s="47"/>
      <c r="G105" s="47"/>
      <c r="H105" s="47"/>
    </row>
    <row r="106">
      <c r="A106" s="47"/>
      <c r="B106" s="47"/>
      <c r="C106" s="47"/>
      <c r="D106" s="47"/>
      <c r="E106" s="47"/>
      <c r="F106" s="47"/>
      <c r="G106" s="47"/>
      <c r="H106" s="47"/>
    </row>
    <row r="107">
      <c r="A107" s="47"/>
      <c r="B107" s="47"/>
      <c r="C107" s="47"/>
      <c r="D107" s="47"/>
      <c r="E107" s="47"/>
      <c r="F107" s="47"/>
      <c r="G107" s="47"/>
      <c r="H107" s="47"/>
    </row>
    <row r="108">
      <c r="A108" s="47"/>
      <c r="B108" s="47"/>
      <c r="C108" s="47"/>
      <c r="D108" s="47"/>
      <c r="E108" s="47"/>
      <c r="F108" s="47"/>
      <c r="G108" s="47"/>
      <c r="H108" s="47"/>
    </row>
    <row r="109">
      <c r="A109" s="47"/>
      <c r="B109" s="47"/>
      <c r="C109" s="47"/>
      <c r="D109" s="47"/>
      <c r="E109" s="47"/>
      <c r="F109" s="47"/>
      <c r="G109" s="47"/>
      <c r="H109" s="47"/>
    </row>
    <row r="110">
      <c r="A110" s="47"/>
      <c r="B110" s="47"/>
      <c r="C110" s="47"/>
      <c r="D110" s="47"/>
      <c r="E110" s="47"/>
      <c r="F110" s="47"/>
      <c r="G110" s="47"/>
      <c r="H110" s="47"/>
    </row>
    <row r="111">
      <c r="A111" s="47"/>
      <c r="B111" s="47"/>
      <c r="C111" s="47"/>
      <c r="D111" s="47"/>
      <c r="E111" s="47"/>
      <c r="F111" s="47"/>
      <c r="G111" s="47"/>
      <c r="H111" s="47"/>
    </row>
    <row r="112">
      <c r="A112" s="47"/>
      <c r="B112" s="47"/>
      <c r="C112" s="47"/>
      <c r="D112" s="47"/>
      <c r="E112" s="47"/>
      <c r="F112" s="47"/>
      <c r="G112" s="47"/>
      <c r="H112" s="47"/>
    </row>
    <row r="113">
      <c r="A113" s="47"/>
      <c r="B113" s="47"/>
      <c r="C113" s="47"/>
      <c r="D113" s="47"/>
      <c r="E113" s="47"/>
      <c r="F113" s="47"/>
      <c r="G113" s="47"/>
      <c r="H113" s="47"/>
    </row>
    <row r="114">
      <c r="A114" s="47"/>
      <c r="B114" s="47"/>
      <c r="C114" s="47"/>
      <c r="D114" s="47"/>
      <c r="E114" s="47"/>
      <c r="F114" s="47"/>
      <c r="G114" s="47"/>
      <c r="H114" s="47"/>
    </row>
    <row r="115">
      <c r="A115" s="47"/>
      <c r="B115" s="47"/>
      <c r="C115" s="47"/>
      <c r="D115" s="47"/>
      <c r="E115" s="47"/>
      <c r="F115" s="47"/>
      <c r="G115" s="47"/>
      <c r="H115" s="47"/>
    </row>
    <row r="116">
      <c r="A116" s="47"/>
      <c r="B116" s="47"/>
      <c r="C116" s="47"/>
      <c r="D116" s="47"/>
      <c r="E116" s="47"/>
      <c r="F116" s="47"/>
      <c r="G116" s="47"/>
      <c r="H116" s="47"/>
    </row>
    <row r="117">
      <c r="A117" s="47"/>
      <c r="B117" s="47"/>
      <c r="C117" s="47"/>
      <c r="D117" s="47"/>
      <c r="E117" s="47"/>
      <c r="F117" s="47"/>
      <c r="G117" s="47"/>
      <c r="H117" s="47"/>
    </row>
    <row r="118">
      <c r="A118" s="47"/>
      <c r="B118" s="47"/>
      <c r="C118" s="47"/>
      <c r="D118" s="47"/>
      <c r="E118" s="47"/>
      <c r="F118" s="47"/>
      <c r="G118" s="47"/>
      <c r="H118" s="47"/>
    </row>
    <row r="119">
      <c r="A119" s="47"/>
      <c r="B119" s="47"/>
      <c r="C119" s="47"/>
      <c r="D119" s="47"/>
      <c r="E119" s="47"/>
      <c r="F119" s="47"/>
      <c r="G119" s="47"/>
      <c r="H119" s="47"/>
    </row>
    <row r="120">
      <c r="A120" s="47"/>
      <c r="B120" s="47"/>
      <c r="C120" s="47"/>
      <c r="D120" s="47"/>
      <c r="E120" s="47"/>
      <c r="F120" s="47"/>
      <c r="G120" s="47"/>
      <c r="H120" s="47"/>
    </row>
    <row r="121">
      <c r="A121" s="47"/>
      <c r="B121" s="47"/>
      <c r="C121" s="47"/>
      <c r="D121" s="47"/>
      <c r="E121" s="47"/>
      <c r="F121" s="47"/>
      <c r="G121" s="47"/>
      <c r="H121" s="47"/>
    </row>
    <row r="122">
      <c r="A122" s="47"/>
      <c r="B122" s="47"/>
      <c r="C122" s="47"/>
      <c r="D122" s="47"/>
      <c r="E122" s="47"/>
      <c r="F122" s="47"/>
      <c r="G122" s="47"/>
      <c r="H122" s="47"/>
    </row>
    <row r="123">
      <c r="A123" s="47"/>
      <c r="B123" s="47"/>
      <c r="C123" s="47"/>
      <c r="D123" s="47"/>
      <c r="E123" s="47"/>
      <c r="F123" s="47"/>
      <c r="G123" s="47"/>
      <c r="H123" s="47"/>
    </row>
    <row r="124">
      <c r="A124" s="47"/>
      <c r="B124" s="47"/>
      <c r="C124" s="47"/>
      <c r="D124" s="47"/>
      <c r="E124" s="47"/>
      <c r="F124" s="47"/>
      <c r="G124" s="47"/>
      <c r="H124" s="47"/>
    </row>
    <row r="125">
      <c r="A125" s="47"/>
      <c r="B125" s="47"/>
      <c r="C125" s="47"/>
      <c r="D125" s="47"/>
      <c r="E125" s="47"/>
      <c r="F125" s="47"/>
      <c r="G125" s="47"/>
      <c r="H125" s="47"/>
    </row>
    <row r="126">
      <c r="A126" s="47"/>
      <c r="B126" s="47"/>
      <c r="C126" s="47"/>
      <c r="D126" s="47"/>
      <c r="E126" s="47"/>
      <c r="F126" s="47"/>
      <c r="G126" s="47"/>
      <c r="H126" s="47"/>
    </row>
    <row r="127">
      <c r="A127" s="47"/>
      <c r="B127" s="47"/>
      <c r="C127" s="47"/>
      <c r="D127" s="47"/>
      <c r="E127" s="47"/>
      <c r="F127" s="47"/>
      <c r="G127" s="47"/>
      <c r="H127" s="47"/>
    </row>
    <row r="128">
      <c r="A128" s="47"/>
      <c r="B128" s="47"/>
      <c r="C128" s="47"/>
      <c r="D128" s="47"/>
      <c r="E128" s="47"/>
      <c r="F128" s="47"/>
      <c r="G128" s="47"/>
      <c r="H128" s="47"/>
    </row>
    <row r="129">
      <c r="A129" s="47"/>
      <c r="B129" s="47"/>
      <c r="C129" s="47"/>
      <c r="D129" s="47"/>
      <c r="E129" s="47"/>
      <c r="F129" s="47"/>
      <c r="G129" s="47"/>
      <c r="H129" s="47"/>
    </row>
    <row r="130">
      <c r="A130" s="47"/>
      <c r="B130" s="47"/>
      <c r="C130" s="47"/>
      <c r="D130" s="47"/>
      <c r="E130" s="47"/>
      <c r="F130" s="47"/>
      <c r="G130" s="47"/>
      <c r="H130" s="47"/>
    </row>
    <row r="131">
      <c r="A131" s="47"/>
      <c r="B131" s="47"/>
      <c r="C131" s="47"/>
      <c r="D131" s="47"/>
      <c r="E131" s="47"/>
      <c r="F131" s="47"/>
      <c r="G131" s="47"/>
      <c r="H131" s="47"/>
    </row>
    <row r="132">
      <c r="A132" s="47"/>
      <c r="B132" s="47"/>
      <c r="C132" s="47"/>
      <c r="D132" s="47"/>
      <c r="E132" s="47"/>
      <c r="F132" s="47"/>
      <c r="G132" s="47"/>
      <c r="H132" s="47"/>
    </row>
    <row r="133">
      <c r="A133" s="47"/>
      <c r="B133" s="47"/>
      <c r="C133" s="47"/>
      <c r="D133" s="47"/>
      <c r="E133" s="47"/>
      <c r="F133" s="47"/>
      <c r="G133" s="47"/>
      <c r="H133" s="47"/>
    </row>
    <row r="134">
      <c r="A134" s="47"/>
      <c r="B134" s="47"/>
      <c r="C134" s="47"/>
      <c r="D134" s="47"/>
      <c r="E134" s="47"/>
      <c r="F134" s="47"/>
      <c r="G134" s="47"/>
      <c r="H134" s="47"/>
    </row>
    <row r="135">
      <c r="A135" s="47"/>
      <c r="B135" s="47"/>
      <c r="C135" s="47"/>
      <c r="D135" s="47"/>
      <c r="E135" s="47"/>
      <c r="F135" s="47"/>
      <c r="G135" s="47"/>
      <c r="H135" s="47"/>
    </row>
    <row r="136">
      <c r="A136" s="47"/>
      <c r="B136" s="47"/>
      <c r="C136" s="47"/>
      <c r="D136" s="47"/>
      <c r="E136" s="47"/>
      <c r="F136" s="47"/>
      <c r="G136" s="47"/>
      <c r="H136" s="47"/>
    </row>
    <row r="137">
      <c r="A137" s="47"/>
      <c r="B137" s="47"/>
      <c r="C137" s="47"/>
      <c r="D137" s="47"/>
      <c r="E137" s="47"/>
      <c r="F137" s="47"/>
      <c r="G137" s="47"/>
      <c r="H137" s="47"/>
    </row>
    <row r="138">
      <c r="A138" s="47"/>
      <c r="B138" s="47"/>
      <c r="C138" s="47"/>
      <c r="D138" s="47"/>
      <c r="E138" s="47"/>
      <c r="F138" s="47"/>
      <c r="G138" s="47"/>
      <c r="H138" s="47"/>
    </row>
    <row r="139">
      <c r="A139" s="47"/>
      <c r="B139" s="47"/>
      <c r="C139" s="47"/>
      <c r="D139" s="47"/>
      <c r="E139" s="47"/>
      <c r="F139" s="47"/>
      <c r="G139" s="47"/>
      <c r="H139" s="47"/>
    </row>
    <row r="140">
      <c r="A140" s="47"/>
      <c r="B140" s="47"/>
      <c r="C140" s="47"/>
      <c r="D140" s="47"/>
      <c r="E140" s="47"/>
      <c r="F140" s="47"/>
      <c r="G140" s="47"/>
      <c r="H140" s="47"/>
    </row>
    <row r="141">
      <c r="A141" s="47"/>
      <c r="B141" s="47"/>
      <c r="C141" s="47"/>
      <c r="D141" s="47"/>
      <c r="E141" s="47"/>
      <c r="F141" s="47"/>
      <c r="G141" s="47"/>
      <c r="H141" s="47"/>
    </row>
    <row r="142">
      <c r="A142" s="47"/>
      <c r="B142" s="47"/>
      <c r="C142" s="47"/>
      <c r="D142" s="47"/>
      <c r="E142" s="47"/>
      <c r="F142" s="47"/>
      <c r="G142" s="47"/>
      <c r="H142" s="47"/>
    </row>
    <row r="143">
      <c r="A143" s="47"/>
      <c r="B143" s="47"/>
      <c r="C143" s="47"/>
      <c r="D143" s="47"/>
      <c r="E143" s="47"/>
      <c r="F143" s="47"/>
      <c r="G143" s="47"/>
      <c r="H143" s="47"/>
    </row>
    <row r="144">
      <c r="A144" s="47"/>
      <c r="B144" s="47"/>
      <c r="C144" s="47"/>
      <c r="D144" s="47"/>
      <c r="E144" s="47"/>
      <c r="F144" s="47"/>
      <c r="G144" s="47"/>
      <c r="H144" s="47"/>
    </row>
    <row r="145">
      <c r="A145" s="47"/>
      <c r="B145" s="47"/>
      <c r="C145" s="47"/>
      <c r="D145" s="47"/>
      <c r="E145" s="47"/>
      <c r="F145" s="47"/>
      <c r="G145" s="47"/>
      <c r="H145" s="47"/>
    </row>
    <row r="146">
      <c r="A146" s="47"/>
      <c r="B146" s="47"/>
      <c r="C146" s="47"/>
      <c r="D146" s="47"/>
      <c r="E146" s="47"/>
      <c r="F146" s="47"/>
      <c r="G146" s="47"/>
      <c r="H146" s="47"/>
    </row>
    <row r="147">
      <c r="A147" s="47"/>
      <c r="B147" s="47"/>
      <c r="C147" s="47"/>
      <c r="D147" s="47"/>
      <c r="E147" s="47"/>
      <c r="F147" s="47"/>
      <c r="G147" s="47"/>
      <c r="H147" s="47"/>
    </row>
    <row r="148">
      <c r="A148" s="47"/>
      <c r="B148" s="47"/>
      <c r="C148" s="47"/>
      <c r="D148" s="47"/>
      <c r="E148" s="47"/>
      <c r="F148" s="47"/>
      <c r="G148" s="47"/>
      <c r="H148" s="47"/>
    </row>
    <row r="149">
      <c r="A149" s="47"/>
      <c r="B149" s="47"/>
      <c r="C149" s="47"/>
      <c r="D149" s="47"/>
      <c r="E149" s="47"/>
      <c r="F149" s="47"/>
      <c r="G149" s="47"/>
      <c r="H149" s="47"/>
    </row>
    <row r="150">
      <c r="A150" s="47"/>
      <c r="B150" s="47"/>
      <c r="C150" s="47"/>
      <c r="D150" s="47"/>
      <c r="E150" s="47"/>
      <c r="F150" s="47"/>
      <c r="G150" s="47"/>
      <c r="H150" s="47"/>
    </row>
    <row r="151">
      <c r="A151" s="47"/>
      <c r="B151" s="47"/>
      <c r="C151" s="47"/>
      <c r="D151" s="47"/>
      <c r="E151" s="47"/>
      <c r="F151" s="47"/>
      <c r="G151" s="47"/>
      <c r="H151" s="47"/>
    </row>
    <row r="152">
      <c r="A152" s="47"/>
      <c r="B152" s="47"/>
      <c r="C152" s="47"/>
      <c r="D152" s="47"/>
      <c r="E152" s="47"/>
      <c r="F152" s="47"/>
      <c r="G152" s="47"/>
      <c r="H152" s="47"/>
    </row>
    <row r="153">
      <c r="A153" s="47"/>
      <c r="B153" s="47"/>
      <c r="C153" s="47"/>
      <c r="D153" s="47"/>
      <c r="E153" s="47"/>
      <c r="F153" s="47"/>
      <c r="G153" s="47"/>
      <c r="H153" s="47"/>
    </row>
    <row r="154">
      <c r="A154" s="47"/>
      <c r="B154" s="47"/>
      <c r="C154" s="47"/>
      <c r="D154" s="47"/>
      <c r="E154" s="47"/>
      <c r="F154" s="47"/>
      <c r="G154" s="47"/>
      <c r="H154" s="47"/>
    </row>
    <row r="155">
      <c r="A155" s="47"/>
      <c r="B155" s="47"/>
      <c r="C155" s="47"/>
      <c r="D155" s="47"/>
      <c r="E155" s="47"/>
      <c r="F155" s="47"/>
      <c r="G155" s="47"/>
      <c r="H155" s="47"/>
    </row>
    <row r="156">
      <c r="A156" s="47"/>
      <c r="B156" s="47"/>
      <c r="C156" s="47"/>
      <c r="D156" s="47"/>
      <c r="E156" s="47"/>
      <c r="F156" s="47"/>
      <c r="G156" s="47"/>
      <c r="H156" s="47"/>
    </row>
    <row r="157">
      <c r="A157" s="47"/>
      <c r="B157" s="47"/>
      <c r="C157" s="47"/>
      <c r="D157" s="47"/>
      <c r="E157" s="47"/>
      <c r="F157" s="47"/>
      <c r="G157" s="47"/>
      <c r="H157" s="47"/>
    </row>
    <row r="158">
      <c r="A158" s="47"/>
      <c r="B158" s="47"/>
      <c r="C158" s="47"/>
      <c r="D158" s="47"/>
      <c r="E158" s="47"/>
      <c r="F158" s="47"/>
      <c r="G158" s="47"/>
      <c r="H158" s="47"/>
    </row>
    <row r="159">
      <c r="A159" s="47"/>
      <c r="B159" s="47"/>
      <c r="C159" s="47"/>
      <c r="D159" s="47"/>
      <c r="E159" s="47"/>
      <c r="F159" s="47"/>
      <c r="G159" s="47"/>
      <c r="H159" s="47"/>
    </row>
    <row r="160">
      <c r="A160" s="47"/>
      <c r="B160" s="47"/>
      <c r="C160" s="47"/>
      <c r="D160" s="47"/>
      <c r="E160" s="47"/>
      <c r="F160" s="47"/>
      <c r="G160" s="47"/>
      <c r="H160" s="47"/>
    </row>
    <row r="161">
      <c r="A161" s="47"/>
      <c r="B161" s="47"/>
      <c r="C161" s="47"/>
      <c r="D161" s="47"/>
      <c r="E161" s="47"/>
      <c r="F161" s="47"/>
      <c r="G161" s="47"/>
      <c r="H161" s="47"/>
    </row>
    <row r="162">
      <c r="A162" s="47"/>
      <c r="B162" s="47"/>
      <c r="C162" s="47"/>
      <c r="D162" s="47"/>
      <c r="E162" s="47"/>
      <c r="F162" s="47"/>
      <c r="G162" s="47"/>
      <c r="H162" s="47"/>
    </row>
    <row r="163">
      <c r="A163" s="47"/>
      <c r="B163" s="47"/>
      <c r="C163" s="47"/>
      <c r="D163" s="47"/>
      <c r="E163" s="47"/>
      <c r="F163" s="47"/>
      <c r="G163" s="47"/>
      <c r="H163" s="47"/>
    </row>
    <row r="164">
      <c r="A164" s="47"/>
      <c r="B164" s="47"/>
      <c r="C164" s="47"/>
      <c r="D164" s="47"/>
      <c r="E164" s="47"/>
      <c r="F164" s="47"/>
      <c r="G164" s="47"/>
      <c r="H164" s="47"/>
    </row>
    <row r="165">
      <c r="A165" s="47"/>
      <c r="B165" s="47"/>
      <c r="C165" s="47"/>
      <c r="D165" s="47"/>
      <c r="E165" s="47"/>
      <c r="F165" s="47"/>
      <c r="G165" s="47"/>
      <c r="H165" s="47"/>
    </row>
    <row r="166">
      <c r="A166" s="47"/>
      <c r="B166" s="47"/>
      <c r="C166" s="47"/>
      <c r="D166" s="47"/>
      <c r="E166" s="47"/>
      <c r="F166" s="47"/>
      <c r="G166" s="47"/>
      <c r="H166" s="47"/>
    </row>
    <row r="167">
      <c r="A167" s="47"/>
      <c r="B167" s="47"/>
      <c r="C167" s="47"/>
      <c r="D167" s="47"/>
      <c r="E167" s="47"/>
      <c r="F167" s="47"/>
      <c r="G167" s="47"/>
      <c r="H167" s="47"/>
    </row>
    <row r="168">
      <c r="A168" s="47"/>
      <c r="B168" s="47"/>
      <c r="C168" s="47"/>
      <c r="D168" s="47"/>
      <c r="E168" s="47"/>
      <c r="F168" s="47"/>
      <c r="G168" s="47"/>
      <c r="H168" s="47"/>
    </row>
    <row r="169">
      <c r="A169" s="47"/>
      <c r="B169" s="47"/>
      <c r="C169" s="47"/>
      <c r="D169" s="47"/>
      <c r="E169" s="47"/>
      <c r="F169" s="47"/>
      <c r="G169" s="47"/>
      <c r="H169" s="47"/>
    </row>
    <row r="170">
      <c r="A170" s="47"/>
      <c r="B170" s="47"/>
      <c r="C170" s="47"/>
      <c r="D170" s="47"/>
      <c r="E170" s="47"/>
      <c r="F170" s="47"/>
      <c r="G170" s="47"/>
      <c r="H170" s="47"/>
    </row>
    <row r="171">
      <c r="A171" s="47"/>
      <c r="B171" s="47"/>
      <c r="C171" s="47"/>
      <c r="D171" s="47"/>
      <c r="E171" s="47"/>
      <c r="F171" s="47"/>
      <c r="G171" s="47"/>
      <c r="H171" s="47"/>
    </row>
    <row r="172">
      <c r="A172" s="47"/>
      <c r="B172" s="47"/>
      <c r="C172" s="47"/>
      <c r="D172" s="47"/>
      <c r="E172" s="47"/>
      <c r="F172" s="47"/>
      <c r="G172" s="47"/>
      <c r="H172" s="47"/>
    </row>
    <row r="173">
      <c r="A173" s="47"/>
      <c r="B173" s="47"/>
      <c r="C173" s="47"/>
      <c r="D173" s="47"/>
      <c r="E173" s="47"/>
      <c r="F173" s="47"/>
      <c r="G173" s="47"/>
      <c r="H173" s="47"/>
    </row>
    <row r="174">
      <c r="A174" s="47"/>
      <c r="B174" s="47"/>
      <c r="C174" s="47"/>
      <c r="D174" s="47"/>
      <c r="E174" s="47"/>
      <c r="F174" s="47"/>
      <c r="G174" s="47"/>
      <c r="H174" s="47"/>
    </row>
    <row r="175">
      <c r="A175" s="47"/>
      <c r="B175" s="47"/>
      <c r="C175" s="47"/>
      <c r="D175" s="47"/>
      <c r="E175" s="47"/>
      <c r="F175" s="47"/>
      <c r="G175" s="47"/>
      <c r="H175" s="47"/>
    </row>
    <row r="176">
      <c r="A176" s="47"/>
      <c r="B176" s="47"/>
      <c r="C176" s="47"/>
      <c r="D176" s="47"/>
      <c r="E176" s="47"/>
      <c r="F176" s="47"/>
      <c r="G176" s="47"/>
      <c r="H176" s="47"/>
    </row>
    <row r="177">
      <c r="A177" s="47"/>
      <c r="B177" s="47"/>
      <c r="C177" s="47"/>
      <c r="D177" s="47"/>
      <c r="E177" s="47"/>
      <c r="F177" s="47"/>
      <c r="G177" s="47"/>
      <c r="H177" s="47"/>
    </row>
    <row r="178">
      <c r="A178" s="47"/>
      <c r="B178" s="47"/>
      <c r="C178" s="47"/>
      <c r="D178" s="47"/>
      <c r="E178" s="47"/>
      <c r="F178" s="47"/>
      <c r="G178" s="47"/>
      <c r="H178" s="47"/>
    </row>
    <row r="179">
      <c r="A179" s="47"/>
      <c r="B179" s="47"/>
      <c r="C179" s="47"/>
      <c r="D179" s="47"/>
      <c r="E179" s="47"/>
      <c r="F179" s="47"/>
      <c r="G179" s="47"/>
      <c r="H179" s="47"/>
    </row>
    <row r="180">
      <c r="A180" s="47"/>
      <c r="B180" s="47"/>
      <c r="C180" s="47"/>
      <c r="D180" s="47"/>
      <c r="E180" s="47"/>
      <c r="F180" s="47"/>
      <c r="G180" s="47"/>
      <c r="H180" s="47"/>
    </row>
    <row r="181">
      <c r="A181" s="47"/>
      <c r="B181" s="47"/>
      <c r="C181" s="47"/>
      <c r="D181" s="47"/>
      <c r="E181" s="47"/>
      <c r="F181" s="47"/>
      <c r="G181" s="47"/>
      <c r="H181" s="47"/>
    </row>
    <row r="182">
      <c r="A182" s="47"/>
      <c r="B182" s="47"/>
      <c r="C182" s="47"/>
      <c r="D182" s="47"/>
      <c r="E182" s="47"/>
      <c r="F182" s="47"/>
      <c r="G182" s="47"/>
      <c r="H182" s="47"/>
    </row>
    <row r="183">
      <c r="A183" s="47"/>
      <c r="B183" s="47"/>
      <c r="C183" s="47"/>
      <c r="D183" s="47"/>
      <c r="E183" s="47"/>
      <c r="F183" s="47"/>
      <c r="G183" s="47"/>
      <c r="H183" s="47"/>
    </row>
    <row r="184">
      <c r="A184" s="47"/>
      <c r="B184" s="47"/>
      <c r="C184" s="47"/>
      <c r="D184" s="47"/>
      <c r="E184" s="47"/>
      <c r="F184" s="47"/>
      <c r="G184" s="47"/>
      <c r="H184" s="47"/>
    </row>
    <row r="185">
      <c r="A185" s="47"/>
      <c r="B185" s="47"/>
      <c r="C185" s="47"/>
      <c r="D185" s="47"/>
      <c r="E185" s="47"/>
      <c r="F185" s="47"/>
      <c r="G185" s="47"/>
      <c r="H185" s="47"/>
    </row>
    <row r="186">
      <c r="A186" s="47"/>
      <c r="B186" s="47"/>
      <c r="C186" s="47"/>
      <c r="D186" s="47"/>
      <c r="E186" s="47"/>
      <c r="F186" s="47"/>
      <c r="G186" s="47"/>
      <c r="H186" s="47"/>
    </row>
    <row r="187">
      <c r="A187" s="47"/>
      <c r="B187" s="47"/>
      <c r="C187" s="47"/>
      <c r="D187" s="47"/>
      <c r="E187" s="47"/>
      <c r="F187" s="47"/>
      <c r="G187" s="47"/>
      <c r="H187" s="47"/>
    </row>
    <row r="188">
      <c r="A188" s="47"/>
      <c r="B188" s="47"/>
      <c r="C188" s="47"/>
      <c r="D188" s="47"/>
      <c r="E188" s="47"/>
      <c r="F188" s="47"/>
      <c r="G188" s="47"/>
      <c r="H188" s="47"/>
    </row>
    <row r="189">
      <c r="A189" s="47"/>
      <c r="B189" s="47"/>
      <c r="C189" s="47"/>
      <c r="D189" s="47"/>
      <c r="E189" s="47"/>
      <c r="F189" s="47"/>
      <c r="G189" s="47"/>
      <c r="H189" s="47"/>
    </row>
    <row r="190">
      <c r="A190" s="47"/>
      <c r="B190" s="47"/>
      <c r="C190" s="47"/>
      <c r="D190" s="47"/>
      <c r="E190" s="47"/>
      <c r="F190" s="47"/>
      <c r="G190" s="47"/>
      <c r="H190" s="47"/>
    </row>
    <row r="191">
      <c r="A191" s="47"/>
      <c r="B191" s="47"/>
      <c r="C191" s="47"/>
      <c r="D191" s="47"/>
      <c r="E191" s="47"/>
      <c r="F191" s="47"/>
      <c r="G191" s="47"/>
      <c r="H191" s="47"/>
    </row>
    <row r="192">
      <c r="A192" s="47"/>
      <c r="B192" s="47"/>
      <c r="C192" s="47"/>
      <c r="D192" s="47"/>
      <c r="E192" s="47"/>
      <c r="F192" s="47"/>
      <c r="G192" s="47"/>
      <c r="H192" s="47"/>
    </row>
    <row r="193">
      <c r="A193" s="47"/>
      <c r="B193" s="47"/>
      <c r="C193" s="47"/>
      <c r="D193" s="47"/>
      <c r="E193" s="47"/>
      <c r="F193" s="47"/>
      <c r="G193" s="47"/>
      <c r="H193" s="47"/>
    </row>
    <row r="194">
      <c r="A194" s="47"/>
      <c r="B194" s="47"/>
      <c r="C194" s="47"/>
      <c r="D194" s="47"/>
      <c r="E194" s="47"/>
      <c r="F194" s="47"/>
      <c r="G194" s="47"/>
      <c r="H194" s="47"/>
    </row>
    <row r="195">
      <c r="A195" s="47"/>
      <c r="B195" s="47"/>
      <c r="C195" s="47"/>
      <c r="D195" s="47"/>
      <c r="E195" s="47"/>
      <c r="F195" s="47"/>
      <c r="G195" s="47"/>
      <c r="H195" s="47"/>
    </row>
    <row r="196">
      <c r="A196" s="47"/>
      <c r="B196" s="47"/>
      <c r="C196" s="47"/>
      <c r="D196" s="47"/>
      <c r="E196" s="47"/>
      <c r="F196" s="47"/>
      <c r="G196" s="47"/>
      <c r="H196" s="47"/>
    </row>
    <row r="197">
      <c r="A197" s="47"/>
      <c r="B197" s="47"/>
      <c r="C197" s="47"/>
      <c r="D197" s="47"/>
      <c r="E197" s="47"/>
      <c r="F197" s="47"/>
      <c r="G197" s="47"/>
      <c r="H197" s="47"/>
    </row>
    <row r="198">
      <c r="A198" s="47"/>
      <c r="B198" s="47"/>
      <c r="C198" s="47"/>
      <c r="D198" s="47"/>
      <c r="E198" s="47"/>
      <c r="F198" s="47"/>
      <c r="G198" s="47"/>
      <c r="H198" s="47"/>
    </row>
    <row r="199">
      <c r="A199" s="47"/>
      <c r="B199" s="47"/>
      <c r="C199" s="47"/>
      <c r="D199" s="47"/>
      <c r="E199" s="47"/>
      <c r="F199" s="47"/>
      <c r="G199" s="47"/>
      <c r="H199" s="47"/>
    </row>
    <row r="200">
      <c r="A200" s="47"/>
      <c r="B200" s="47"/>
      <c r="C200" s="47"/>
      <c r="D200" s="47"/>
      <c r="E200" s="47"/>
      <c r="F200" s="47"/>
      <c r="G200" s="47"/>
      <c r="H200" s="47"/>
    </row>
    <row r="201">
      <c r="A201" s="47"/>
      <c r="B201" s="47"/>
      <c r="C201" s="47"/>
      <c r="D201" s="47"/>
      <c r="E201" s="47"/>
      <c r="F201" s="47"/>
      <c r="G201" s="47"/>
      <c r="H201" s="47"/>
    </row>
    <row r="202">
      <c r="A202" s="47"/>
      <c r="B202" s="47"/>
      <c r="C202" s="47"/>
      <c r="D202" s="47"/>
      <c r="E202" s="47"/>
      <c r="F202" s="47"/>
      <c r="G202" s="47"/>
      <c r="H202" s="47"/>
    </row>
    <row r="203">
      <c r="A203" s="47"/>
      <c r="B203" s="47"/>
      <c r="C203" s="47"/>
      <c r="D203" s="47"/>
      <c r="E203" s="47"/>
      <c r="F203" s="47"/>
      <c r="G203" s="47"/>
      <c r="H203" s="47"/>
    </row>
    <row r="204">
      <c r="A204" s="47"/>
      <c r="B204" s="47"/>
      <c r="C204" s="47"/>
      <c r="D204" s="47"/>
      <c r="E204" s="47"/>
      <c r="F204" s="47"/>
      <c r="G204" s="47"/>
      <c r="H204" s="47"/>
    </row>
    <row r="205">
      <c r="A205" s="47"/>
      <c r="B205" s="47"/>
      <c r="C205" s="47"/>
      <c r="D205" s="47"/>
      <c r="E205" s="47"/>
      <c r="F205" s="47"/>
      <c r="G205" s="47"/>
      <c r="H205" s="47"/>
    </row>
    <row r="206">
      <c r="A206" s="47"/>
      <c r="B206" s="47"/>
      <c r="C206" s="47"/>
      <c r="D206" s="47"/>
      <c r="E206" s="47"/>
      <c r="F206" s="47"/>
      <c r="G206" s="47"/>
      <c r="H206" s="47"/>
    </row>
    <row r="207">
      <c r="A207" s="47"/>
      <c r="B207" s="47"/>
      <c r="C207" s="47"/>
      <c r="D207" s="47"/>
      <c r="E207" s="47"/>
      <c r="F207" s="47"/>
      <c r="G207" s="47"/>
      <c r="H207" s="47"/>
    </row>
    <row r="208">
      <c r="A208" s="47"/>
      <c r="B208" s="47"/>
      <c r="C208" s="47"/>
      <c r="D208" s="47"/>
      <c r="E208" s="47"/>
      <c r="F208" s="47"/>
      <c r="G208" s="47"/>
      <c r="H208" s="47"/>
    </row>
    <row r="209">
      <c r="A209" s="47"/>
      <c r="B209" s="47"/>
      <c r="C209" s="47"/>
      <c r="D209" s="47"/>
      <c r="E209" s="47"/>
      <c r="F209" s="47"/>
      <c r="G209" s="47"/>
      <c r="H209" s="47"/>
    </row>
    <row r="210">
      <c r="A210" s="47"/>
      <c r="B210" s="47"/>
      <c r="C210" s="47"/>
      <c r="D210" s="47"/>
      <c r="E210" s="47"/>
      <c r="F210" s="47"/>
      <c r="G210" s="47"/>
      <c r="H210" s="47"/>
    </row>
    <row r="211">
      <c r="A211" s="47"/>
      <c r="B211" s="47"/>
      <c r="C211" s="47"/>
      <c r="D211" s="47"/>
      <c r="E211" s="47"/>
      <c r="F211" s="47"/>
      <c r="G211" s="47"/>
      <c r="H211" s="47"/>
    </row>
    <row r="212">
      <c r="A212" s="47"/>
      <c r="B212" s="47"/>
      <c r="C212" s="47"/>
      <c r="D212" s="47"/>
      <c r="E212" s="47"/>
      <c r="F212" s="47"/>
      <c r="G212" s="47"/>
      <c r="H212" s="47"/>
    </row>
    <row r="213">
      <c r="A213" s="47"/>
      <c r="B213" s="47"/>
      <c r="C213" s="47"/>
      <c r="D213" s="47"/>
      <c r="E213" s="47"/>
      <c r="F213" s="47"/>
      <c r="G213" s="47"/>
      <c r="H213" s="47"/>
    </row>
    <row r="214">
      <c r="A214" s="47"/>
      <c r="B214" s="47"/>
      <c r="C214" s="47"/>
      <c r="D214" s="47"/>
      <c r="E214" s="47"/>
      <c r="F214" s="47"/>
      <c r="G214" s="47"/>
      <c r="H214" s="47"/>
    </row>
    <row r="215">
      <c r="A215" s="47"/>
      <c r="B215" s="47"/>
      <c r="C215" s="47"/>
      <c r="D215" s="47"/>
      <c r="E215" s="47"/>
      <c r="F215" s="47"/>
      <c r="G215" s="47"/>
      <c r="H215" s="47"/>
    </row>
    <row r="216">
      <c r="A216" s="47"/>
      <c r="B216" s="47"/>
      <c r="C216" s="47"/>
      <c r="D216" s="47"/>
      <c r="E216" s="47"/>
      <c r="F216" s="47"/>
      <c r="G216" s="47"/>
      <c r="H216" s="47"/>
    </row>
    <row r="217">
      <c r="A217" s="47"/>
      <c r="B217" s="47"/>
      <c r="C217" s="47"/>
      <c r="D217" s="47"/>
      <c r="E217" s="47"/>
      <c r="F217" s="47"/>
      <c r="G217" s="47"/>
      <c r="H217" s="47"/>
    </row>
    <row r="218">
      <c r="A218" s="47"/>
      <c r="B218" s="47"/>
      <c r="C218" s="47"/>
      <c r="D218" s="47"/>
      <c r="E218" s="47"/>
      <c r="F218" s="47"/>
      <c r="G218" s="47"/>
      <c r="H218" s="47"/>
    </row>
    <row r="219">
      <c r="A219" s="47"/>
      <c r="B219" s="47"/>
      <c r="C219" s="47"/>
      <c r="D219" s="47"/>
      <c r="E219" s="47"/>
      <c r="F219" s="47"/>
      <c r="G219" s="47"/>
      <c r="H219" s="47"/>
    </row>
    <row r="220">
      <c r="A220" s="47"/>
      <c r="B220" s="47"/>
      <c r="C220" s="47"/>
      <c r="D220" s="47"/>
      <c r="E220" s="47"/>
      <c r="F220" s="47"/>
      <c r="G220" s="47"/>
      <c r="H220" s="47"/>
    </row>
    <row r="221">
      <c r="A221" s="47"/>
      <c r="B221" s="47"/>
      <c r="C221" s="47"/>
      <c r="D221" s="47"/>
      <c r="E221" s="47"/>
      <c r="F221" s="47"/>
      <c r="G221" s="47"/>
      <c r="H221" s="47"/>
    </row>
    <row r="222">
      <c r="A222" s="47"/>
      <c r="B222" s="47"/>
      <c r="C222" s="47"/>
      <c r="D222" s="47"/>
      <c r="E222" s="47"/>
      <c r="F222" s="47"/>
      <c r="G222" s="47"/>
      <c r="H222" s="47"/>
    </row>
    <row r="223">
      <c r="A223" s="47"/>
      <c r="B223" s="47"/>
      <c r="C223" s="47"/>
      <c r="D223" s="47"/>
      <c r="E223" s="47"/>
      <c r="F223" s="47"/>
      <c r="G223" s="47"/>
      <c r="H223" s="47"/>
    </row>
    <row r="224">
      <c r="A224" s="47"/>
      <c r="B224" s="47"/>
      <c r="C224" s="47"/>
      <c r="D224" s="47"/>
      <c r="E224" s="47"/>
      <c r="F224" s="47"/>
      <c r="G224" s="47"/>
      <c r="H224" s="47"/>
    </row>
    <row r="225">
      <c r="A225" s="47"/>
      <c r="B225" s="47"/>
      <c r="C225" s="47"/>
      <c r="D225" s="47"/>
      <c r="E225" s="47"/>
      <c r="F225" s="47"/>
      <c r="G225" s="47"/>
      <c r="H225" s="47"/>
    </row>
    <row r="226">
      <c r="A226" s="47"/>
      <c r="B226" s="47"/>
      <c r="C226" s="47"/>
      <c r="D226" s="47"/>
      <c r="E226" s="47"/>
      <c r="F226" s="47"/>
      <c r="G226" s="47"/>
      <c r="H226" s="47"/>
    </row>
    <row r="227">
      <c r="A227" s="47"/>
      <c r="B227" s="47"/>
      <c r="C227" s="47"/>
      <c r="D227" s="47"/>
      <c r="E227" s="47"/>
      <c r="F227" s="47"/>
      <c r="G227" s="47"/>
      <c r="H227" s="47"/>
    </row>
    <row r="228">
      <c r="A228" s="47"/>
      <c r="B228" s="47"/>
      <c r="C228" s="47"/>
      <c r="D228" s="47"/>
      <c r="E228" s="47"/>
      <c r="F228" s="47"/>
      <c r="G228" s="47"/>
      <c r="H228" s="47"/>
    </row>
    <row r="229">
      <c r="A229" s="47"/>
      <c r="B229" s="47"/>
      <c r="C229" s="47"/>
      <c r="D229" s="47"/>
      <c r="E229" s="47"/>
      <c r="F229" s="47"/>
      <c r="G229" s="47"/>
      <c r="H229" s="47"/>
    </row>
    <row r="230">
      <c r="A230" s="47"/>
      <c r="B230" s="47"/>
      <c r="C230" s="47"/>
      <c r="D230" s="47"/>
      <c r="E230" s="47"/>
      <c r="F230" s="47"/>
      <c r="G230" s="47"/>
      <c r="H230" s="47"/>
    </row>
    <row r="231">
      <c r="A231" s="47"/>
      <c r="B231" s="47"/>
      <c r="C231" s="47"/>
      <c r="D231" s="47"/>
      <c r="E231" s="47"/>
      <c r="F231" s="47"/>
      <c r="G231" s="47"/>
      <c r="H231" s="47"/>
    </row>
    <row r="232">
      <c r="A232" s="47"/>
      <c r="B232" s="47"/>
      <c r="C232" s="47"/>
      <c r="D232" s="47"/>
      <c r="E232" s="47"/>
      <c r="F232" s="47"/>
      <c r="G232" s="47"/>
      <c r="H232" s="47"/>
    </row>
    <row r="233">
      <c r="A233" s="47"/>
      <c r="B233" s="47"/>
      <c r="C233" s="47"/>
      <c r="D233" s="47"/>
      <c r="E233" s="47"/>
      <c r="F233" s="47"/>
      <c r="G233" s="47"/>
      <c r="H233" s="47"/>
    </row>
    <row r="234">
      <c r="A234" s="47"/>
      <c r="B234" s="47"/>
      <c r="C234" s="47"/>
      <c r="D234" s="47"/>
      <c r="E234" s="47"/>
      <c r="F234" s="47"/>
      <c r="G234" s="47"/>
      <c r="H234" s="47"/>
    </row>
    <row r="235">
      <c r="A235" s="47"/>
      <c r="B235" s="47"/>
      <c r="C235" s="47"/>
      <c r="D235" s="47"/>
      <c r="E235" s="47"/>
      <c r="F235" s="47"/>
      <c r="G235" s="47"/>
      <c r="H235" s="47"/>
    </row>
    <row r="236">
      <c r="A236" s="47"/>
      <c r="B236" s="47"/>
      <c r="C236" s="47"/>
      <c r="D236" s="47"/>
      <c r="E236" s="47"/>
      <c r="F236" s="47"/>
      <c r="G236" s="47"/>
      <c r="H236" s="47"/>
    </row>
    <row r="237">
      <c r="A237" s="47"/>
      <c r="B237" s="47"/>
      <c r="C237" s="47"/>
      <c r="D237" s="47"/>
      <c r="E237" s="47"/>
      <c r="F237" s="47"/>
      <c r="G237" s="47"/>
      <c r="H237" s="47"/>
    </row>
    <row r="238">
      <c r="A238" s="47"/>
      <c r="B238" s="47"/>
      <c r="C238" s="47"/>
      <c r="D238" s="47"/>
      <c r="E238" s="47"/>
      <c r="F238" s="47"/>
      <c r="G238" s="47"/>
      <c r="H238" s="47"/>
    </row>
    <row r="239">
      <c r="A239" s="47"/>
      <c r="B239" s="47"/>
      <c r="C239" s="47"/>
      <c r="D239" s="47"/>
      <c r="E239" s="47"/>
      <c r="F239" s="47"/>
      <c r="G239" s="47"/>
      <c r="H239" s="47"/>
    </row>
    <row r="240">
      <c r="A240" s="47"/>
      <c r="B240" s="47"/>
      <c r="C240" s="47"/>
      <c r="D240" s="47"/>
      <c r="E240" s="47"/>
      <c r="F240" s="47"/>
      <c r="G240" s="47"/>
      <c r="H240" s="47"/>
    </row>
    <row r="241">
      <c r="A241" s="47"/>
      <c r="B241" s="47"/>
      <c r="C241" s="47"/>
      <c r="D241" s="47"/>
      <c r="E241" s="47"/>
      <c r="F241" s="47"/>
      <c r="G241" s="47"/>
      <c r="H241" s="47"/>
    </row>
    <row r="242">
      <c r="A242" s="47"/>
      <c r="B242" s="47"/>
      <c r="C242" s="47"/>
      <c r="D242" s="47"/>
      <c r="E242" s="47"/>
      <c r="F242" s="47"/>
      <c r="G242" s="47"/>
      <c r="H242" s="47"/>
    </row>
    <row r="243">
      <c r="A243" s="47"/>
      <c r="B243" s="47"/>
      <c r="C243" s="47"/>
      <c r="D243" s="47"/>
      <c r="E243" s="47"/>
      <c r="F243" s="47"/>
      <c r="G243" s="47"/>
      <c r="H243" s="47"/>
    </row>
    <row r="244">
      <c r="A244" s="47"/>
      <c r="B244" s="47"/>
      <c r="C244" s="47"/>
      <c r="D244" s="47"/>
      <c r="E244" s="47"/>
      <c r="F244" s="47"/>
      <c r="G244" s="47"/>
      <c r="H244" s="47"/>
    </row>
    <row r="245">
      <c r="A245" s="47"/>
      <c r="B245" s="47"/>
      <c r="C245" s="47"/>
      <c r="D245" s="47"/>
      <c r="E245" s="47"/>
      <c r="F245" s="47"/>
      <c r="G245" s="47"/>
      <c r="H245" s="47"/>
    </row>
    <row r="246">
      <c r="A246" s="47"/>
      <c r="B246" s="47"/>
      <c r="C246" s="47"/>
      <c r="D246" s="47"/>
      <c r="E246" s="47"/>
      <c r="F246" s="47"/>
      <c r="G246" s="47"/>
      <c r="H246" s="47"/>
    </row>
    <row r="247">
      <c r="A247" s="47"/>
      <c r="B247" s="47"/>
      <c r="C247" s="47"/>
      <c r="D247" s="47"/>
      <c r="E247" s="47"/>
      <c r="F247" s="47"/>
      <c r="G247" s="47"/>
      <c r="H247" s="47"/>
    </row>
    <row r="248">
      <c r="A248" s="47"/>
      <c r="B248" s="47"/>
      <c r="C248" s="47"/>
      <c r="D248" s="47"/>
      <c r="E248" s="47"/>
      <c r="F248" s="47"/>
      <c r="G248" s="47"/>
      <c r="H248" s="47"/>
    </row>
    <row r="249">
      <c r="A249" s="47"/>
      <c r="B249" s="47"/>
      <c r="C249" s="47"/>
      <c r="D249" s="47"/>
      <c r="E249" s="47"/>
      <c r="F249" s="47"/>
      <c r="G249" s="47"/>
      <c r="H249" s="47"/>
    </row>
    <row r="250">
      <c r="A250" s="47"/>
      <c r="B250" s="47"/>
      <c r="C250" s="47"/>
      <c r="D250" s="47"/>
      <c r="E250" s="47"/>
      <c r="F250" s="47"/>
      <c r="G250" s="47"/>
      <c r="H250" s="47"/>
    </row>
    <row r="251">
      <c r="A251" s="47"/>
      <c r="B251" s="47"/>
      <c r="C251" s="47"/>
      <c r="D251" s="47"/>
      <c r="E251" s="47"/>
      <c r="F251" s="47"/>
      <c r="G251" s="47"/>
      <c r="H251" s="47"/>
    </row>
    <row r="252">
      <c r="A252" s="47"/>
      <c r="B252" s="47"/>
      <c r="C252" s="47"/>
      <c r="D252" s="47"/>
      <c r="E252" s="47"/>
      <c r="F252" s="47"/>
      <c r="G252" s="47"/>
      <c r="H252" s="47"/>
    </row>
    <row r="253">
      <c r="A253" s="47"/>
      <c r="B253" s="47"/>
      <c r="C253" s="47"/>
      <c r="D253" s="47"/>
      <c r="E253" s="47"/>
      <c r="F253" s="47"/>
      <c r="G253" s="47"/>
      <c r="H253" s="47"/>
    </row>
    <row r="254">
      <c r="A254" s="47"/>
      <c r="B254" s="47"/>
      <c r="C254" s="47"/>
      <c r="D254" s="47"/>
      <c r="E254" s="47"/>
      <c r="F254" s="47"/>
      <c r="G254" s="47"/>
      <c r="H254" s="47"/>
    </row>
    <row r="255">
      <c r="A255" s="47"/>
      <c r="B255" s="47"/>
      <c r="C255" s="47"/>
      <c r="D255" s="47"/>
      <c r="E255" s="47"/>
      <c r="F255" s="47"/>
      <c r="G255" s="47"/>
      <c r="H255" s="47"/>
    </row>
    <row r="256">
      <c r="A256" s="47"/>
      <c r="B256" s="47"/>
      <c r="C256" s="47"/>
      <c r="D256" s="47"/>
      <c r="E256" s="47"/>
      <c r="F256" s="47"/>
      <c r="G256" s="47"/>
      <c r="H256" s="47"/>
    </row>
    <row r="257">
      <c r="A257" s="47"/>
      <c r="B257" s="47"/>
      <c r="C257" s="47"/>
      <c r="D257" s="47"/>
      <c r="E257" s="47"/>
      <c r="F257" s="47"/>
      <c r="G257" s="47"/>
      <c r="H257" s="47"/>
    </row>
    <row r="258">
      <c r="A258" s="47"/>
      <c r="B258" s="47"/>
      <c r="C258" s="47"/>
      <c r="D258" s="47"/>
      <c r="E258" s="47"/>
      <c r="F258" s="47"/>
      <c r="G258" s="47"/>
      <c r="H258" s="47"/>
    </row>
    <row r="259">
      <c r="A259" s="47"/>
      <c r="B259" s="47"/>
      <c r="C259" s="47"/>
      <c r="D259" s="47"/>
      <c r="E259" s="47"/>
      <c r="F259" s="47"/>
      <c r="G259" s="47"/>
      <c r="H259" s="47"/>
    </row>
    <row r="260">
      <c r="A260" s="47"/>
      <c r="B260" s="47"/>
      <c r="C260" s="47"/>
      <c r="D260" s="47"/>
      <c r="E260" s="47"/>
      <c r="F260" s="47"/>
      <c r="G260" s="47"/>
      <c r="H260" s="47"/>
    </row>
    <row r="261">
      <c r="A261" s="47"/>
      <c r="B261" s="47"/>
      <c r="C261" s="47"/>
      <c r="D261" s="47"/>
      <c r="E261" s="47"/>
      <c r="F261" s="47"/>
      <c r="G261" s="47"/>
      <c r="H261" s="47"/>
    </row>
    <row r="262">
      <c r="A262" s="47"/>
      <c r="B262" s="47"/>
      <c r="C262" s="47"/>
      <c r="D262" s="47"/>
      <c r="E262" s="47"/>
      <c r="F262" s="47"/>
      <c r="G262" s="47"/>
      <c r="H262" s="47"/>
    </row>
    <row r="263">
      <c r="A263" s="47"/>
      <c r="B263" s="47"/>
      <c r="C263" s="47"/>
      <c r="D263" s="47"/>
      <c r="E263" s="47"/>
      <c r="F263" s="47"/>
      <c r="G263" s="47"/>
      <c r="H263" s="47"/>
    </row>
    <row r="264">
      <c r="A264" s="47"/>
      <c r="B264" s="47"/>
      <c r="C264" s="47"/>
      <c r="D264" s="47"/>
      <c r="E264" s="47"/>
      <c r="F264" s="47"/>
      <c r="G264" s="47"/>
      <c r="H264" s="47"/>
    </row>
    <row r="265">
      <c r="A265" s="47"/>
      <c r="B265" s="47"/>
      <c r="C265" s="47"/>
      <c r="D265" s="47"/>
      <c r="E265" s="47"/>
      <c r="F265" s="47"/>
      <c r="G265" s="47"/>
      <c r="H265" s="47"/>
    </row>
    <row r="266">
      <c r="A266" s="47"/>
      <c r="B266" s="47"/>
      <c r="C266" s="47"/>
      <c r="D266" s="47"/>
      <c r="E266" s="47"/>
      <c r="F266" s="47"/>
      <c r="G266" s="47"/>
      <c r="H266" s="47"/>
    </row>
    <row r="267">
      <c r="A267" s="47"/>
      <c r="B267" s="47"/>
      <c r="C267" s="47"/>
      <c r="D267" s="47"/>
      <c r="E267" s="47"/>
      <c r="F267" s="47"/>
      <c r="G267" s="47"/>
      <c r="H267" s="47"/>
    </row>
    <row r="268">
      <c r="A268" s="47"/>
      <c r="B268" s="47"/>
      <c r="C268" s="47"/>
      <c r="D268" s="47"/>
      <c r="E268" s="47"/>
      <c r="F268" s="47"/>
      <c r="G268" s="47"/>
      <c r="H268" s="47"/>
    </row>
    <row r="269">
      <c r="A269" s="47"/>
      <c r="B269" s="47"/>
      <c r="C269" s="47"/>
      <c r="D269" s="47"/>
      <c r="E269" s="47"/>
      <c r="F269" s="47"/>
      <c r="G269" s="47"/>
      <c r="H269" s="47"/>
    </row>
    <row r="270">
      <c r="A270" s="47"/>
      <c r="B270" s="47"/>
      <c r="C270" s="47"/>
      <c r="D270" s="47"/>
      <c r="E270" s="47"/>
      <c r="F270" s="47"/>
      <c r="G270" s="47"/>
      <c r="H270" s="47"/>
    </row>
    <row r="271">
      <c r="A271" s="47"/>
      <c r="B271" s="47"/>
      <c r="C271" s="47"/>
      <c r="D271" s="47"/>
      <c r="E271" s="47"/>
      <c r="F271" s="47"/>
      <c r="G271" s="47"/>
      <c r="H271" s="47"/>
    </row>
    <row r="272">
      <c r="A272" s="47"/>
      <c r="B272" s="47"/>
      <c r="C272" s="47"/>
      <c r="D272" s="47"/>
      <c r="E272" s="47"/>
      <c r="F272" s="47"/>
      <c r="G272" s="47"/>
      <c r="H272" s="47"/>
    </row>
    <row r="273">
      <c r="A273" s="47"/>
      <c r="B273" s="47"/>
      <c r="C273" s="47"/>
      <c r="D273" s="47"/>
      <c r="E273" s="47"/>
      <c r="F273" s="47"/>
      <c r="G273" s="47"/>
      <c r="H273" s="47"/>
    </row>
    <row r="274">
      <c r="A274" s="47"/>
      <c r="B274" s="47"/>
      <c r="C274" s="47"/>
      <c r="D274" s="47"/>
      <c r="E274" s="47"/>
      <c r="F274" s="47"/>
      <c r="G274" s="47"/>
      <c r="H274" s="47"/>
    </row>
    <row r="275">
      <c r="A275" s="47"/>
      <c r="B275" s="47"/>
      <c r="C275" s="47"/>
      <c r="D275" s="47"/>
      <c r="E275" s="47"/>
      <c r="F275" s="47"/>
      <c r="G275" s="47"/>
      <c r="H275" s="47"/>
    </row>
    <row r="276">
      <c r="A276" s="47"/>
      <c r="B276" s="47"/>
      <c r="C276" s="47"/>
      <c r="D276" s="47"/>
      <c r="E276" s="47"/>
      <c r="F276" s="47"/>
      <c r="G276" s="47"/>
      <c r="H276" s="47"/>
    </row>
    <row r="277">
      <c r="A277" s="47"/>
      <c r="B277" s="47"/>
      <c r="C277" s="47"/>
      <c r="D277" s="47"/>
      <c r="E277" s="47"/>
      <c r="F277" s="47"/>
      <c r="G277" s="47"/>
      <c r="H277" s="47"/>
    </row>
    <row r="278">
      <c r="A278" s="47"/>
      <c r="B278" s="47"/>
      <c r="C278" s="47"/>
      <c r="D278" s="47"/>
      <c r="E278" s="47"/>
      <c r="F278" s="47"/>
      <c r="G278" s="47"/>
      <c r="H278" s="47"/>
    </row>
    <row r="279">
      <c r="A279" s="47"/>
      <c r="B279" s="47"/>
      <c r="C279" s="47"/>
      <c r="D279" s="47"/>
      <c r="E279" s="47"/>
      <c r="F279" s="47"/>
      <c r="G279" s="47"/>
      <c r="H279" s="47"/>
    </row>
    <row r="280">
      <c r="A280" s="47"/>
      <c r="B280" s="47"/>
      <c r="C280" s="47"/>
      <c r="D280" s="47"/>
      <c r="E280" s="47"/>
      <c r="F280" s="47"/>
      <c r="G280" s="47"/>
      <c r="H280" s="47"/>
    </row>
    <row r="281">
      <c r="A281" s="47"/>
      <c r="B281" s="47"/>
      <c r="C281" s="47"/>
      <c r="D281" s="47"/>
      <c r="E281" s="47"/>
      <c r="F281" s="47"/>
      <c r="G281" s="47"/>
      <c r="H281" s="47"/>
    </row>
    <row r="282">
      <c r="A282" s="47"/>
      <c r="B282" s="47"/>
      <c r="C282" s="47"/>
      <c r="D282" s="47"/>
      <c r="E282" s="47"/>
      <c r="F282" s="47"/>
      <c r="G282" s="47"/>
      <c r="H282" s="47"/>
    </row>
    <row r="283">
      <c r="A283" s="47"/>
      <c r="B283" s="47"/>
      <c r="C283" s="47"/>
      <c r="D283" s="47"/>
      <c r="E283" s="47"/>
      <c r="F283" s="47"/>
      <c r="G283" s="47"/>
      <c r="H283" s="47"/>
    </row>
    <row r="284">
      <c r="A284" s="47"/>
      <c r="B284" s="47"/>
      <c r="C284" s="47"/>
      <c r="D284" s="47"/>
      <c r="E284" s="47"/>
      <c r="F284" s="47"/>
      <c r="G284" s="47"/>
      <c r="H284" s="47"/>
    </row>
    <row r="285">
      <c r="A285" s="47"/>
      <c r="B285" s="47"/>
      <c r="C285" s="47"/>
      <c r="D285" s="47"/>
      <c r="E285" s="47"/>
      <c r="F285" s="47"/>
      <c r="G285" s="47"/>
      <c r="H285" s="47"/>
    </row>
    <row r="286">
      <c r="A286" s="47"/>
      <c r="B286" s="47"/>
      <c r="C286" s="47"/>
      <c r="D286" s="47"/>
      <c r="E286" s="47"/>
      <c r="F286" s="47"/>
      <c r="G286" s="47"/>
      <c r="H286" s="47"/>
    </row>
    <row r="287">
      <c r="A287" s="47"/>
      <c r="B287" s="47"/>
      <c r="C287" s="47"/>
      <c r="D287" s="47"/>
      <c r="E287" s="47"/>
      <c r="F287" s="47"/>
      <c r="G287" s="47"/>
      <c r="H287" s="47"/>
    </row>
    <row r="288">
      <c r="A288" s="47"/>
      <c r="B288" s="47"/>
      <c r="C288" s="47"/>
      <c r="D288" s="47"/>
      <c r="E288" s="47"/>
      <c r="F288" s="47"/>
      <c r="G288" s="47"/>
      <c r="H288" s="47"/>
    </row>
    <row r="289">
      <c r="A289" s="47"/>
      <c r="B289" s="47"/>
      <c r="C289" s="47"/>
      <c r="D289" s="47"/>
      <c r="E289" s="47"/>
      <c r="F289" s="47"/>
      <c r="G289" s="47"/>
      <c r="H289" s="47"/>
    </row>
    <row r="290">
      <c r="A290" s="47"/>
      <c r="B290" s="47"/>
      <c r="C290" s="47"/>
      <c r="D290" s="47"/>
      <c r="E290" s="47"/>
      <c r="F290" s="47"/>
      <c r="G290" s="47"/>
      <c r="H290" s="47"/>
    </row>
    <row r="291">
      <c r="A291" s="47"/>
      <c r="B291" s="47"/>
      <c r="C291" s="47"/>
      <c r="D291" s="47"/>
      <c r="E291" s="47"/>
      <c r="F291" s="47"/>
      <c r="G291" s="47"/>
      <c r="H291" s="47"/>
    </row>
    <row r="292">
      <c r="A292" s="47"/>
      <c r="B292" s="47"/>
      <c r="C292" s="47"/>
      <c r="D292" s="47"/>
      <c r="E292" s="47"/>
      <c r="F292" s="47"/>
      <c r="G292" s="47"/>
      <c r="H292" s="47"/>
    </row>
    <row r="293">
      <c r="A293" s="47"/>
      <c r="B293" s="47"/>
      <c r="C293" s="47"/>
      <c r="D293" s="47"/>
      <c r="E293" s="47"/>
      <c r="F293" s="47"/>
      <c r="G293" s="47"/>
      <c r="H293" s="47"/>
    </row>
    <row r="294">
      <c r="A294" s="47"/>
      <c r="B294" s="47"/>
      <c r="C294" s="47"/>
      <c r="D294" s="47"/>
      <c r="E294" s="47"/>
      <c r="F294" s="47"/>
      <c r="G294" s="47"/>
      <c r="H294" s="47"/>
    </row>
    <row r="295">
      <c r="A295" s="47"/>
      <c r="B295" s="47"/>
      <c r="C295" s="47"/>
      <c r="D295" s="47"/>
      <c r="E295" s="47"/>
      <c r="F295" s="47"/>
      <c r="G295" s="47"/>
      <c r="H295" s="47"/>
    </row>
    <row r="296">
      <c r="A296" s="47"/>
      <c r="B296" s="47"/>
      <c r="C296" s="47"/>
      <c r="D296" s="47"/>
      <c r="E296" s="47"/>
      <c r="F296" s="47"/>
      <c r="G296" s="47"/>
      <c r="H296" s="47"/>
    </row>
    <row r="297">
      <c r="A297" s="47"/>
      <c r="B297" s="47"/>
      <c r="C297" s="47"/>
      <c r="D297" s="47"/>
      <c r="E297" s="47"/>
      <c r="F297" s="47"/>
      <c r="G297" s="47"/>
      <c r="H297" s="47"/>
    </row>
    <row r="298">
      <c r="A298" s="47"/>
      <c r="B298" s="47"/>
      <c r="C298" s="47"/>
      <c r="D298" s="47"/>
      <c r="E298" s="47"/>
      <c r="F298" s="47"/>
      <c r="G298" s="47"/>
      <c r="H298" s="47"/>
    </row>
    <row r="299">
      <c r="A299" s="47"/>
      <c r="B299" s="47"/>
      <c r="C299" s="47"/>
      <c r="D299" s="47"/>
      <c r="E299" s="47"/>
      <c r="F299" s="47"/>
      <c r="G299" s="47"/>
      <c r="H299" s="47"/>
    </row>
    <row r="300">
      <c r="A300" s="47"/>
      <c r="B300" s="47"/>
      <c r="C300" s="47"/>
      <c r="D300" s="47"/>
      <c r="E300" s="47"/>
      <c r="F300" s="47"/>
      <c r="G300" s="47"/>
      <c r="H300" s="47"/>
    </row>
    <row r="301">
      <c r="A301" s="47"/>
      <c r="B301" s="47"/>
      <c r="C301" s="47"/>
      <c r="D301" s="47"/>
      <c r="E301" s="47"/>
      <c r="F301" s="47"/>
      <c r="G301" s="47"/>
      <c r="H301" s="47"/>
    </row>
    <row r="302">
      <c r="A302" s="47"/>
      <c r="B302" s="47"/>
      <c r="C302" s="47"/>
      <c r="D302" s="47"/>
      <c r="E302" s="47"/>
      <c r="F302" s="47"/>
      <c r="G302" s="47"/>
      <c r="H302" s="47"/>
    </row>
    <row r="303">
      <c r="A303" s="47"/>
      <c r="B303" s="47"/>
      <c r="C303" s="47"/>
      <c r="D303" s="47"/>
      <c r="E303" s="47"/>
      <c r="F303" s="47"/>
      <c r="G303" s="47"/>
      <c r="H303" s="47"/>
    </row>
    <row r="304">
      <c r="A304" s="47"/>
      <c r="B304" s="47"/>
      <c r="C304" s="47"/>
      <c r="D304" s="47"/>
      <c r="E304" s="47"/>
      <c r="F304" s="47"/>
      <c r="G304" s="47"/>
      <c r="H304" s="47"/>
    </row>
    <row r="305">
      <c r="A305" s="47"/>
      <c r="B305" s="47"/>
      <c r="C305" s="47"/>
      <c r="D305" s="47"/>
      <c r="E305" s="47"/>
      <c r="F305" s="47"/>
      <c r="G305" s="47"/>
      <c r="H305" s="47"/>
    </row>
    <row r="306">
      <c r="A306" s="47"/>
      <c r="B306" s="47"/>
      <c r="C306" s="47"/>
      <c r="D306" s="47"/>
      <c r="E306" s="47"/>
      <c r="F306" s="47"/>
      <c r="G306" s="47"/>
      <c r="H306" s="47"/>
    </row>
    <row r="307">
      <c r="A307" s="47"/>
      <c r="B307" s="47"/>
      <c r="C307" s="47"/>
      <c r="D307" s="47"/>
      <c r="E307" s="47"/>
      <c r="F307" s="47"/>
      <c r="G307" s="47"/>
      <c r="H307" s="47"/>
    </row>
    <row r="308">
      <c r="A308" s="47"/>
      <c r="B308" s="47"/>
      <c r="C308" s="47"/>
      <c r="D308" s="47"/>
      <c r="E308" s="47"/>
      <c r="F308" s="47"/>
      <c r="G308" s="47"/>
      <c r="H308" s="47"/>
    </row>
    <row r="309">
      <c r="A309" s="47"/>
      <c r="B309" s="47"/>
      <c r="C309" s="47"/>
      <c r="D309" s="47"/>
      <c r="E309" s="47"/>
      <c r="F309" s="47"/>
      <c r="G309" s="47"/>
      <c r="H309" s="47"/>
    </row>
    <row r="310">
      <c r="A310" s="47"/>
      <c r="B310" s="47"/>
      <c r="C310" s="47"/>
      <c r="D310" s="47"/>
      <c r="E310" s="47"/>
      <c r="F310" s="47"/>
      <c r="G310" s="47"/>
      <c r="H310" s="47"/>
    </row>
    <row r="311">
      <c r="A311" s="47"/>
      <c r="B311" s="47"/>
      <c r="C311" s="47"/>
      <c r="D311" s="47"/>
      <c r="E311" s="47"/>
      <c r="F311" s="47"/>
      <c r="G311" s="47"/>
      <c r="H311" s="47"/>
    </row>
    <row r="312">
      <c r="A312" s="47"/>
      <c r="B312" s="47"/>
      <c r="C312" s="47"/>
      <c r="D312" s="47"/>
      <c r="E312" s="47"/>
      <c r="F312" s="47"/>
      <c r="G312" s="47"/>
      <c r="H312" s="47"/>
    </row>
    <row r="313">
      <c r="A313" s="47"/>
      <c r="B313" s="47"/>
      <c r="C313" s="47"/>
      <c r="D313" s="47"/>
      <c r="E313" s="47"/>
      <c r="F313" s="47"/>
      <c r="G313" s="47"/>
      <c r="H313" s="47"/>
    </row>
    <row r="314">
      <c r="A314" s="47"/>
      <c r="B314" s="47"/>
      <c r="C314" s="47"/>
      <c r="D314" s="47"/>
      <c r="E314" s="47"/>
      <c r="F314" s="47"/>
      <c r="G314" s="47"/>
      <c r="H314" s="47"/>
    </row>
    <row r="315">
      <c r="A315" s="47"/>
      <c r="B315" s="47"/>
      <c r="C315" s="47"/>
      <c r="D315" s="47"/>
      <c r="E315" s="47"/>
      <c r="F315" s="47"/>
      <c r="G315" s="47"/>
      <c r="H315" s="47"/>
    </row>
    <row r="316">
      <c r="A316" s="47"/>
      <c r="B316" s="47"/>
      <c r="C316" s="47"/>
      <c r="D316" s="47"/>
      <c r="E316" s="47"/>
      <c r="F316" s="47"/>
      <c r="G316" s="47"/>
      <c r="H316" s="47"/>
    </row>
    <row r="317">
      <c r="A317" s="47"/>
      <c r="B317" s="47"/>
      <c r="C317" s="47"/>
      <c r="D317" s="47"/>
      <c r="E317" s="47"/>
      <c r="F317" s="47"/>
      <c r="G317" s="47"/>
      <c r="H317" s="47"/>
    </row>
    <row r="318">
      <c r="A318" s="47"/>
      <c r="B318" s="47"/>
      <c r="C318" s="47"/>
      <c r="D318" s="47"/>
      <c r="E318" s="47"/>
      <c r="F318" s="47"/>
      <c r="G318" s="47"/>
      <c r="H318" s="47"/>
    </row>
    <row r="319">
      <c r="A319" s="47"/>
      <c r="B319" s="47"/>
      <c r="C319" s="47"/>
      <c r="D319" s="47"/>
      <c r="E319" s="47"/>
      <c r="F319" s="47"/>
      <c r="G319" s="47"/>
      <c r="H319" s="47"/>
    </row>
    <row r="320">
      <c r="A320" s="47"/>
      <c r="B320" s="47"/>
      <c r="C320" s="47"/>
      <c r="D320" s="47"/>
      <c r="E320" s="47"/>
      <c r="F320" s="47"/>
      <c r="G320" s="47"/>
      <c r="H320" s="47"/>
    </row>
    <row r="321">
      <c r="A321" s="47"/>
      <c r="B321" s="47"/>
      <c r="C321" s="47"/>
      <c r="D321" s="47"/>
      <c r="E321" s="47"/>
      <c r="F321" s="47"/>
      <c r="G321" s="47"/>
      <c r="H321" s="47"/>
    </row>
    <row r="322">
      <c r="A322" s="47"/>
      <c r="B322" s="47"/>
      <c r="C322" s="47"/>
      <c r="D322" s="47"/>
      <c r="E322" s="47"/>
      <c r="F322" s="47"/>
      <c r="G322" s="47"/>
      <c r="H322" s="47"/>
    </row>
    <row r="323">
      <c r="A323" s="47"/>
      <c r="B323" s="47"/>
      <c r="C323" s="47"/>
      <c r="D323" s="47"/>
      <c r="E323" s="47"/>
      <c r="F323" s="47"/>
      <c r="G323" s="47"/>
      <c r="H323" s="47"/>
    </row>
    <row r="324">
      <c r="A324" s="47"/>
      <c r="B324" s="47"/>
      <c r="C324" s="47"/>
      <c r="D324" s="47"/>
      <c r="E324" s="47"/>
      <c r="F324" s="47"/>
      <c r="G324" s="47"/>
      <c r="H324" s="47"/>
    </row>
    <row r="325">
      <c r="A325" s="47"/>
      <c r="B325" s="47"/>
      <c r="C325" s="47"/>
      <c r="D325" s="47"/>
      <c r="E325" s="47"/>
      <c r="F325" s="47"/>
      <c r="G325" s="47"/>
      <c r="H325" s="47"/>
    </row>
    <row r="326">
      <c r="A326" s="47"/>
      <c r="B326" s="47"/>
      <c r="C326" s="47"/>
      <c r="D326" s="47"/>
      <c r="E326" s="47"/>
      <c r="F326" s="47"/>
      <c r="G326" s="47"/>
      <c r="H326" s="47"/>
    </row>
    <row r="327">
      <c r="A327" s="47"/>
      <c r="B327" s="47"/>
      <c r="C327" s="47"/>
      <c r="D327" s="47"/>
      <c r="E327" s="47"/>
      <c r="F327" s="47"/>
      <c r="G327" s="47"/>
      <c r="H327" s="47"/>
    </row>
    <row r="328">
      <c r="A328" s="47"/>
      <c r="B328" s="47"/>
      <c r="C328" s="47"/>
      <c r="D328" s="47"/>
      <c r="E328" s="47"/>
      <c r="F328" s="47"/>
      <c r="G328" s="47"/>
      <c r="H328" s="47"/>
    </row>
    <row r="329">
      <c r="A329" s="47"/>
      <c r="B329" s="47"/>
      <c r="C329" s="47"/>
      <c r="D329" s="47"/>
      <c r="E329" s="47"/>
      <c r="F329" s="47"/>
      <c r="G329" s="47"/>
      <c r="H329" s="47"/>
    </row>
    <row r="330">
      <c r="A330" s="47"/>
      <c r="B330" s="47"/>
      <c r="C330" s="47"/>
      <c r="D330" s="47"/>
      <c r="E330" s="47"/>
      <c r="F330" s="47"/>
      <c r="G330" s="47"/>
      <c r="H330" s="47"/>
    </row>
    <row r="331">
      <c r="A331" s="47"/>
      <c r="B331" s="47"/>
      <c r="C331" s="47"/>
      <c r="D331" s="47"/>
      <c r="E331" s="47"/>
      <c r="F331" s="47"/>
      <c r="G331" s="47"/>
      <c r="H331" s="47"/>
    </row>
    <row r="332">
      <c r="A332" s="47"/>
      <c r="B332" s="47"/>
      <c r="C332" s="47"/>
      <c r="D332" s="47"/>
      <c r="E332" s="47"/>
      <c r="F332" s="47"/>
      <c r="G332" s="47"/>
      <c r="H332" s="47"/>
    </row>
    <row r="333">
      <c r="A333" s="47"/>
      <c r="B333" s="47"/>
      <c r="C333" s="47"/>
      <c r="D333" s="47"/>
      <c r="E333" s="47"/>
      <c r="F333" s="47"/>
      <c r="G333" s="47"/>
      <c r="H333" s="47"/>
    </row>
    <row r="334">
      <c r="A334" s="47"/>
      <c r="B334" s="47"/>
      <c r="C334" s="47"/>
      <c r="D334" s="47"/>
      <c r="E334" s="47"/>
      <c r="F334" s="47"/>
      <c r="G334" s="47"/>
      <c r="H334" s="47"/>
    </row>
    <row r="335">
      <c r="A335" s="47"/>
      <c r="B335" s="47"/>
      <c r="C335" s="47"/>
      <c r="D335" s="47"/>
      <c r="E335" s="47"/>
      <c r="F335" s="47"/>
      <c r="G335" s="47"/>
      <c r="H335" s="47"/>
    </row>
    <row r="336">
      <c r="A336" s="47"/>
      <c r="B336" s="47"/>
      <c r="C336" s="47"/>
      <c r="D336" s="47"/>
      <c r="E336" s="47"/>
      <c r="F336" s="47"/>
      <c r="G336" s="47"/>
      <c r="H336" s="47"/>
    </row>
    <row r="337">
      <c r="A337" s="47"/>
      <c r="B337" s="47"/>
      <c r="C337" s="47"/>
      <c r="D337" s="47"/>
      <c r="E337" s="47"/>
      <c r="F337" s="47"/>
      <c r="G337" s="47"/>
      <c r="H337" s="47"/>
    </row>
    <row r="338">
      <c r="A338" s="47"/>
      <c r="B338" s="47"/>
      <c r="C338" s="47"/>
      <c r="D338" s="47"/>
      <c r="E338" s="47"/>
      <c r="F338" s="47"/>
      <c r="G338" s="47"/>
      <c r="H338" s="47"/>
    </row>
    <row r="339">
      <c r="A339" s="47"/>
      <c r="B339" s="47"/>
      <c r="C339" s="47"/>
      <c r="D339" s="47"/>
      <c r="E339" s="47"/>
      <c r="F339" s="47"/>
      <c r="G339" s="47"/>
      <c r="H339" s="47"/>
    </row>
    <row r="340">
      <c r="A340" s="47"/>
      <c r="B340" s="47"/>
      <c r="C340" s="47"/>
      <c r="D340" s="47"/>
      <c r="E340" s="47"/>
      <c r="F340" s="47"/>
      <c r="G340" s="47"/>
      <c r="H340" s="47"/>
    </row>
    <row r="341">
      <c r="A341" s="47"/>
      <c r="B341" s="47"/>
      <c r="C341" s="47"/>
      <c r="D341" s="47"/>
      <c r="E341" s="47"/>
      <c r="F341" s="47"/>
      <c r="G341" s="47"/>
      <c r="H341" s="47"/>
    </row>
    <row r="342">
      <c r="A342" s="47"/>
      <c r="B342" s="47"/>
      <c r="C342" s="47"/>
      <c r="D342" s="47"/>
      <c r="E342" s="47"/>
      <c r="F342" s="47"/>
      <c r="G342" s="47"/>
      <c r="H342" s="47"/>
    </row>
    <row r="343">
      <c r="A343" s="47"/>
      <c r="B343" s="47"/>
      <c r="C343" s="47"/>
      <c r="D343" s="47"/>
      <c r="E343" s="47"/>
      <c r="F343" s="47"/>
      <c r="G343" s="47"/>
      <c r="H343" s="47"/>
    </row>
    <row r="344">
      <c r="A344" s="47"/>
      <c r="B344" s="47"/>
      <c r="C344" s="47"/>
      <c r="D344" s="47"/>
      <c r="E344" s="47"/>
      <c r="F344" s="47"/>
      <c r="G344" s="47"/>
      <c r="H344" s="47"/>
    </row>
    <row r="345">
      <c r="A345" s="47"/>
      <c r="B345" s="47"/>
      <c r="C345" s="47"/>
      <c r="D345" s="47"/>
      <c r="E345" s="47"/>
      <c r="F345" s="47"/>
      <c r="G345" s="47"/>
      <c r="H345" s="47"/>
    </row>
    <row r="346">
      <c r="A346" s="47"/>
      <c r="B346" s="47"/>
      <c r="C346" s="47"/>
      <c r="D346" s="47"/>
      <c r="E346" s="47"/>
      <c r="F346" s="47"/>
      <c r="G346" s="47"/>
      <c r="H346" s="47"/>
    </row>
    <row r="347">
      <c r="A347" s="47"/>
      <c r="B347" s="47"/>
      <c r="C347" s="47"/>
      <c r="D347" s="47"/>
      <c r="E347" s="47"/>
      <c r="F347" s="47"/>
      <c r="G347" s="47"/>
      <c r="H347" s="47"/>
    </row>
    <row r="348">
      <c r="A348" s="47"/>
      <c r="B348" s="47"/>
      <c r="C348" s="47"/>
      <c r="D348" s="47"/>
      <c r="E348" s="47"/>
      <c r="F348" s="47"/>
      <c r="G348" s="47"/>
      <c r="H348" s="47"/>
    </row>
    <row r="349">
      <c r="A349" s="47"/>
      <c r="B349" s="47"/>
      <c r="C349" s="47"/>
      <c r="D349" s="47"/>
      <c r="E349" s="47"/>
      <c r="F349" s="47"/>
      <c r="G349" s="47"/>
      <c r="H349" s="47"/>
    </row>
    <row r="350">
      <c r="A350" s="47"/>
      <c r="B350" s="47"/>
      <c r="C350" s="47"/>
      <c r="D350" s="47"/>
      <c r="E350" s="47"/>
      <c r="F350" s="47"/>
      <c r="G350" s="47"/>
      <c r="H350" s="47"/>
    </row>
    <row r="351">
      <c r="A351" s="47"/>
      <c r="B351" s="47"/>
      <c r="C351" s="47"/>
      <c r="D351" s="47"/>
      <c r="E351" s="47"/>
      <c r="F351" s="47"/>
      <c r="G351" s="47"/>
      <c r="H351" s="47"/>
    </row>
    <row r="352">
      <c r="A352" s="47"/>
      <c r="B352" s="47"/>
      <c r="C352" s="47"/>
      <c r="D352" s="47"/>
      <c r="E352" s="47"/>
      <c r="F352" s="47"/>
      <c r="G352" s="47"/>
      <c r="H352" s="47"/>
    </row>
    <row r="353">
      <c r="A353" s="47"/>
      <c r="B353" s="47"/>
      <c r="C353" s="47"/>
      <c r="D353" s="47"/>
      <c r="E353" s="47"/>
      <c r="F353" s="47"/>
      <c r="G353" s="47"/>
      <c r="H353" s="47"/>
    </row>
    <row r="354">
      <c r="A354" s="47"/>
      <c r="B354" s="47"/>
      <c r="C354" s="47"/>
      <c r="D354" s="47"/>
      <c r="E354" s="47"/>
      <c r="F354" s="47"/>
      <c r="G354" s="47"/>
      <c r="H354" s="47"/>
    </row>
    <row r="355">
      <c r="A355" s="47"/>
      <c r="B355" s="47"/>
      <c r="C355" s="47"/>
      <c r="D355" s="47"/>
      <c r="E355" s="47"/>
      <c r="F355" s="47"/>
      <c r="G355" s="47"/>
      <c r="H355" s="47"/>
    </row>
    <row r="356">
      <c r="A356" s="47"/>
      <c r="B356" s="47"/>
      <c r="C356" s="47"/>
      <c r="D356" s="47"/>
      <c r="E356" s="47"/>
      <c r="F356" s="47"/>
      <c r="G356" s="47"/>
      <c r="H356" s="47"/>
    </row>
    <row r="357">
      <c r="A357" s="47"/>
      <c r="B357" s="47"/>
      <c r="C357" s="47"/>
      <c r="D357" s="47"/>
      <c r="E357" s="47"/>
      <c r="F357" s="47"/>
      <c r="G357" s="47"/>
      <c r="H357" s="47"/>
    </row>
    <row r="358">
      <c r="A358" s="47"/>
      <c r="B358" s="47"/>
      <c r="C358" s="47"/>
      <c r="D358" s="47"/>
      <c r="E358" s="47"/>
      <c r="F358" s="47"/>
      <c r="G358" s="47"/>
      <c r="H358" s="47"/>
    </row>
    <row r="359">
      <c r="A359" s="47"/>
      <c r="B359" s="47"/>
      <c r="C359" s="47"/>
      <c r="D359" s="47"/>
      <c r="E359" s="47"/>
      <c r="F359" s="47"/>
      <c r="G359" s="47"/>
      <c r="H359" s="47"/>
    </row>
    <row r="360">
      <c r="A360" s="47"/>
      <c r="B360" s="47"/>
      <c r="C360" s="47"/>
      <c r="D360" s="47"/>
      <c r="E360" s="47"/>
      <c r="F360" s="47"/>
      <c r="G360" s="47"/>
      <c r="H360" s="47"/>
    </row>
    <row r="361">
      <c r="A361" s="47"/>
      <c r="B361" s="47"/>
      <c r="C361" s="47"/>
      <c r="D361" s="47"/>
      <c r="E361" s="47"/>
      <c r="F361" s="47"/>
      <c r="G361" s="47"/>
      <c r="H361" s="47"/>
    </row>
    <row r="362">
      <c r="A362" s="47"/>
      <c r="B362" s="47"/>
      <c r="C362" s="47"/>
      <c r="D362" s="47"/>
      <c r="E362" s="47"/>
      <c r="F362" s="47"/>
      <c r="G362" s="47"/>
      <c r="H362" s="47"/>
    </row>
    <row r="363">
      <c r="A363" s="47"/>
      <c r="B363" s="47"/>
      <c r="C363" s="47"/>
      <c r="D363" s="47"/>
      <c r="E363" s="47"/>
      <c r="F363" s="47"/>
      <c r="G363" s="47"/>
      <c r="H363" s="47"/>
    </row>
    <row r="364">
      <c r="A364" s="47"/>
      <c r="B364" s="47"/>
      <c r="C364" s="47"/>
      <c r="D364" s="47"/>
      <c r="E364" s="47"/>
      <c r="F364" s="47"/>
      <c r="G364" s="47"/>
      <c r="H364" s="47"/>
    </row>
    <row r="365">
      <c r="A365" s="47"/>
      <c r="B365" s="47"/>
      <c r="C365" s="47"/>
      <c r="D365" s="47"/>
      <c r="E365" s="47"/>
      <c r="F365" s="47"/>
      <c r="G365" s="47"/>
      <c r="H365" s="47"/>
    </row>
    <row r="366">
      <c r="A366" s="47"/>
      <c r="B366" s="47"/>
      <c r="C366" s="47"/>
      <c r="D366" s="47"/>
      <c r="E366" s="47"/>
      <c r="F366" s="47"/>
      <c r="G366" s="47"/>
      <c r="H366" s="47"/>
    </row>
    <row r="367">
      <c r="A367" s="47"/>
      <c r="B367" s="47"/>
      <c r="C367" s="47"/>
      <c r="D367" s="47"/>
      <c r="E367" s="47"/>
      <c r="F367" s="47"/>
      <c r="G367" s="47"/>
      <c r="H367" s="47"/>
    </row>
    <row r="368">
      <c r="A368" s="47"/>
      <c r="B368" s="47"/>
      <c r="C368" s="47"/>
      <c r="D368" s="47"/>
      <c r="E368" s="47"/>
      <c r="F368" s="47"/>
      <c r="G368" s="47"/>
      <c r="H368" s="47"/>
    </row>
    <row r="369">
      <c r="A369" s="47"/>
      <c r="B369" s="47"/>
      <c r="C369" s="47"/>
      <c r="D369" s="47"/>
      <c r="E369" s="47"/>
      <c r="F369" s="47"/>
      <c r="G369" s="47"/>
      <c r="H369" s="47"/>
    </row>
    <row r="370">
      <c r="A370" s="47"/>
      <c r="B370" s="47"/>
      <c r="C370" s="47"/>
      <c r="D370" s="47"/>
      <c r="E370" s="47"/>
      <c r="F370" s="47"/>
      <c r="G370" s="47"/>
      <c r="H370" s="47"/>
    </row>
    <row r="371">
      <c r="A371" s="47"/>
      <c r="B371" s="47"/>
      <c r="C371" s="47"/>
      <c r="D371" s="47"/>
      <c r="E371" s="47"/>
      <c r="F371" s="47"/>
      <c r="G371" s="47"/>
      <c r="H371" s="47"/>
    </row>
    <row r="372">
      <c r="A372" s="47"/>
      <c r="B372" s="47"/>
      <c r="C372" s="47"/>
      <c r="D372" s="47"/>
      <c r="E372" s="47"/>
      <c r="F372" s="47"/>
      <c r="G372" s="47"/>
      <c r="H372" s="47"/>
    </row>
    <row r="373">
      <c r="A373" s="47"/>
      <c r="B373" s="47"/>
      <c r="C373" s="47"/>
      <c r="D373" s="47"/>
      <c r="E373" s="47"/>
      <c r="F373" s="47"/>
      <c r="G373" s="47"/>
      <c r="H373" s="47"/>
    </row>
    <row r="374">
      <c r="A374" s="47"/>
      <c r="B374" s="47"/>
      <c r="C374" s="47"/>
      <c r="D374" s="47"/>
      <c r="E374" s="47"/>
      <c r="F374" s="47"/>
      <c r="G374" s="47"/>
      <c r="H374" s="47"/>
    </row>
    <row r="375">
      <c r="A375" s="47"/>
      <c r="B375" s="47"/>
      <c r="C375" s="47"/>
      <c r="D375" s="47"/>
      <c r="E375" s="47"/>
      <c r="F375" s="47"/>
      <c r="G375" s="47"/>
      <c r="H375" s="47"/>
    </row>
    <row r="376">
      <c r="A376" s="47"/>
      <c r="B376" s="47"/>
      <c r="C376" s="47"/>
      <c r="D376" s="47"/>
      <c r="E376" s="47"/>
      <c r="F376" s="47"/>
      <c r="G376" s="47"/>
      <c r="H376" s="47"/>
    </row>
    <row r="377">
      <c r="A377" s="47"/>
      <c r="B377" s="47"/>
      <c r="C377" s="47"/>
      <c r="D377" s="47"/>
      <c r="E377" s="47"/>
      <c r="F377" s="47"/>
      <c r="G377" s="47"/>
      <c r="H377" s="47"/>
    </row>
    <row r="378">
      <c r="A378" s="47"/>
      <c r="B378" s="47"/>
      <c r="C378" s="47"/>
      <c r="D378" s="47"/>
      <c r="E378" s="47"/>
      <c r="F378" s="47"/>
      <c r="G378" s="47"/>
      <c r="H378" s="47"/>
    </row>
    <row r="379">
      <c r="A379" s="47"/>
      <c r="B379" s="47"/>
      <c r="C379" s="47"/>
      <c r="D379" s="47"/>
      <c r="E379" s="47"/>
      <c r="F379" s="47"/>
      <c r="G379" s="47"/>
      <c r="H379" s="47"/>
    </row>
    <row r="380">
      <c r="A380" s="47"/>
      <c r="B380" s="47"/>
      <c r="C380" s="47"/>
      <c r="D380" s="47"/>
      <c r="E380" s="47"/>
      <c r="F380" s="47"/>
      <c r="G380" s="47"/>
      <c r="H380" s="47"/>
    </row>
    <row r="381">
      <c r="A381" s="47"/>
      <c r="B381" s="47"/>
      <c r="C381" s="47"/>
      <c r="D381" s="47"/>
      <c r="E381" s="47"/>
      <c r="F381" s="47"/>
      <c r="G381" s="47"/>
      <c r="H381" s="47"/>
    </row>
    <row r="382">
      <c r="A382" s="47"/>
      <c r="B382" s="47"/>
      <c r="C382" s="47"/>
      <c r="D382" s="47"/>
      <c r="E382" s="47"/>
      <c r="F382" s="47"/>
      <c r="G382" s="47"/>
      <c r="H382" s="47"/>
    </row>
    <row r="383">
      <c r="A383" s="47"/>
      <c r="B383" s="47"/>
      <c r="C383" s="47"/>
      <c r="D383" s="47"/>
      <c r="E383" s="47"/>
      <c r="F383" s="47"/>
      <c r="G383" s="47"/>
      <c r="H383" s="47"/>
    </row>
    <row r="384">
      <c r="A384" s="47"/>
      <c r="B384" s="47"/>
      <c r="C384" s="47"/>
      <c r="D384" s="47"/>
      <c r="E384" s="47"/>
      <c r="F384" s="47"/>
      <c r="G384" s="47"/>
      <c r="H384" s="47"/>
    </row>
    <row r="385">
      <c r="A385" s="47"/>
      <c r="B385" s="47"/>
      <c r="C385" s="47"/>
      <c r="D385" s="47"/>
      <c r="E385" s="47"/>
      <c r="F385" s="47"/>
      <c r="G385" s="47"/>
      <c r="H385" s="47"/>
    </row>
    <row r="386">
      <c r="A386" s="47"/>
      <c r="B386" s="47"/>
      <c r="C386" s="47"/>
      <c r="D386" s="47"/>
      <c r="E386" s="47"/>
      <c r="F386" s="47"/>
      <c r="G386" s="47"/>
      <c r="H386" s="47"/>
    </row>
    <row r="387">
      <c r="A387" s="47"/>
      <c r="B387" s="47"/>
      <c r="C387" s="47"/>
      <c r="D387" s="47"/>
      <c r="E387" s="47"/>
      <c r="F387" s="47"/>
      <c r="G387" s="47"/>
      <c r="H387" s="47"/>
    </row>
    <row r="388">
      <c r="A388" s="47"/>
      <c r="B388" s="47"/>
      <c r="C388" s="47"/>
      <c r="D388" s="47"/>
      <c r="E388" s="47"/>
      <c r="F388" s="47"/>
      <c r="G388" s="47"/>
      <c r="H388" s="47"/>
    </row>
    <row r="389">
      <c r="A389" s="47"/>
      <c r="B389" s="47"/>
      <c r="C389" s="47"/>
      <c r="D389" s="47"/>
      <c r="E389" s="47"/>
      <c r="F389" s="47"/>
      <c r="G389" s="47"/>
      <c r="H389" s="47"/>
    </row>
    <row r="390">
      <c r="A390" s="47"/>
      <c r="B390" s="47"/>
      <c r="C390" s="47"/>
      <c r="D390" s="47"/>
      <c r="E390" s="47"/>
      <c r="F390" s="47"/>
      <c r="G390" s="47"/>
      <c r="H390" s="47"/>
    </row>
    <row r="391">
      <c r="A391" s="47"/>
      <c r="B391" s="47"/>
      <c r="C391" s="47"/>
      <c r="D391" s="47"/>
      <c r="E391" s="47"/>
      <c r="F391" s="47"/>
      <c r="G391" s="47"/>
      <c r="H391" s="47"/>
    </row>
    <row r="392">
      <c r="A392" s="47"/>
      <c r="B392" s="47"/>
      <c r="C392" s="47"/>
      <c r="D392" s="47"/>
      <c r="E392" s="47"/>
      <c r="F392" s="47"/>
      <c r="G392" s="47"/>
      <c r="H392" s="47"/>
    </row>
    <row r="393">
      <c r="A393" s="47"/>
      <c r="B393" s="47"/>
      <c r="C393" s="47"/>
      <c r="D393" s="47"/>
      <c r="E393" s="47"/>
      <c r="F393" s="47"/>
      <c r="G393" s="47"/>
      <c r="H393" s="47"/>
    </row>
    <row r="394">
      <c r="A394" s="47"/>
      <c r="B394" s="47"/>
      <c r="C394" s="47"/>
      <c r="D394" s="47"/>
      <c r="E394" s="47"/>
      <c r="F394" s="47"/>
      <c r="G394" s="47"/>
      <c r="H394" s="47"/>
    </row>
    <row r="395">
      <c r="A395" s="47"/>
      <c r="B395" s="47"/>
      <c r="C395" s="47"/>
      <c r="D395" s="47"/>
      <c r="E395" s="47"/>
      <c r="F395" s="47"/>
      <c r="G395" s="47"/>
      <c r="H395" s="47"/>
    </row>
    <row r="396">
      <c r="A396" s="47"/>
      <c r="B396" s="47"/>
      <c r="C396" s="47"/>
      <c r="D396" s="47"/>
      <c r="E396" s="47"/>
      <c r="F396" s="47"/>
      <c r="G396" s="47"/>
      <c r="H396" s="47"/>
    </row>
    <row r="397">
      <c r="A397" s="47"/>
      <c r="B397" s="47"/>
      <c r="C397" s="47"/>
      <c r="D397" s="47"/>
      <c r="E397" s="47"/>
      <c r="F397" s="47"/>
      <c r="G397" s="47"/>
      <c r="H397" s="47"/>
    </row>
    <row r="398">
      <c r="A398" s="47"/>
      <c r="B398" s="47"/>
      <c r="C398" s="47"/>
      <c r="D398" s="47"/>
      <c r="E398" s="47"/>
      <c r="F398" s="47"/>
      <c r="G398" s="47"/>
      <c r="H398" s="47"/>
    </row>
    <row r="399">
      <c r="A399" s="47"/>
      <c r="B399" s="47"/>
      <c r="C399" s="47"/>
      <c r="D399" s="47"/>
      <c r="E399" s="47"/>
      <c r="F399" s="47"/>
      <c r="G399" s="47"/>
      <c r="H399" s="47"/>
    </row>
    <row r="400">
      <c r="A400" s="47"/>
      <c r="B400" s="47"/>
      <c r="C400" s="47"/>
      <c r="D400" s="47"/>
      <c r="E400" s="47"/>
      <c r="F400" s="47"/>
      <c r="G400" s="47"/>
      <c r="H400" s="47"/>
    </row>
    <row r="401">
      <c r="A401" s="47"/>
      <c r="B401" s="47"/>
      <c r="C401" s="47"/>
      <c r="D401" s="47"/>
      <c r="E401" s="47"/>
      <c r="F401" s="47"/>
      <c r="G401" s="47"/>
      <c r="H401" s="47"/>
    </row>
    <row r="402">
      <c r="A402" s="47"/>
      <c r="B402" s="47"/>
      <c r="C402" s="47"/>
      <c r="D402" s="47"/>
      <c r="E402" s="47"/>
      <c r="F402" s="47"/>
      <c r="G402" s="47"/>
      <c r="H402" s="47"/>
    </row>
    <row r="403">
      <c r="A403" s="47"/>
      <c r="B403" s="47"/>
      <c r="C403" s="47"/>
      <c r="D403" s="47"/>
      <c r="E403" s="47"/>
      <c r="F403" s="47"/>
      <c r="G403" s="47"/>
      <c r="H403" s="47"/>
    </row>
    <row r="404">
      <c r="A404" s="47"/>
      <c r="B404" s="47"/>
      <c r="C404" s="47"/>
      <c r="D404" s="47"/>
      <c r="E404" s="47"/>
      <c r="F404" s="47"/>
      <c r="G404" s="47"/>
      <c r="H404" s="47"/>
    </row>
    <row r="405">
      <c r="A405" s="47"/>
      <c r="B405" s="47"/>
      <c r="C405" s="47"/>
      <c r="D405" s="47"/>
      <c r="E405" s="47"/>
      <c r="F405" s="47"/>
      <c r="G405" s="47"/>
      <c r="H405" s="47"/>
    </row>
    <row r="406">
      <c r="A406" s="47"/>
      <c r="B406" s="47"/>
      <c r="C406" s="47"/>
      <c r="D406" s="47"/>
      <c r="E406" s="47"/>
      <c r="F406" s="47"/>
      <c r="G406" s="47"/>
      <c r="H406" s="47"/>
    </row>
    <row r="407">
      <c r="A407" s="47"/>
      <c r="B407" s="47"/>
      <c r="C407" s="47"/>
      <c r="D407" s="47"/>
      <c r="E407" s="47"/>
      <c r="F407" s="47"/>
      <c r="G407" s="47"/>
      <c r="H407" s="47"/>
    </row>
    <row r="408">
      <c r="A408" s="47"/>
      <c r="B408" s="47"/>
      <c r="C408" s="47"/>
      <c r="D408" s="47"/>
      <c r="E408" s="47"/>
      <c r="F408" s="47"/>
      <c r="G408" s="47"/>
      <c r="H408" s="47"/>
    </row>
    <row r="409">
      <c r="A409" s="47"/>
      <c r="B409" s="47"/>
      <c r="C409" s="47"/>
      <c r="D409" s="47"/>
      <c r="E409" s="47"/>
      <c r="F409" s="47"/>
      <c r="G409" s="47"/>
      <c r="H409" s="47"/>
    </row>
    <row r="410">
      <c r="A410" s="47"/>
      <c r="B410" s="47"/>
      <c r="C410" s="47"/>
      <c r="D410" s="47"/>
      <c r="E410" s="47"/>
      <c r="F410" s="47"/>
      <c r="G410" s="47"/>
      <c r="H410" s="47"/>
    </row>
    <row r="411">
      <c r="A411" s="47"/>
      <c r="B411" s="47"/>
      <c r="C411" s="47"/>
      <c r="D411" s="47"/>
      <c r="E411" s="47"/>
      <c r="F411" s="47"/>
      <c r="G411" s="47"/>
      <c r="H411" s="47"/>
    </row>
    <row r="412">
      <c r="A412" s="47"/>
      <c r="B412" s="47"/>
      <c r="C412" s="47"/>
      <c r="D412" s="47"/>
      <c r="E412" s="47"/>
      <c r="F412" s="47"/>
      <c r="G412" s="47"/>
      <c r="H412" s="47"/>
    </row>
    <row r="413">
      <c r="A413" s="47"/>
      <c r="B413" s="47"/>
      <c r="C413" s="47"/>
      <c r="D413" s="47"/>
      <c r="E413" s="47"/>
      <c r="F413" s="47"/>
      <c r="G413" s="47"/>
      <c r="H413" s="47"/>
    </row>
    <row r="414">
      <c r="A414" s="47"/>
      <c r="B414" s="47"/>
      <c r="C414" s="47"/>
      <c r="D414" s="47"/>
      <c r="E414" s="47"/>
      <c r="F414" s="47"/>
      <c r="G414" s="47"/>
      <c r="H414" s="47"/>
    </row>
    <row r="415">
      <c r="A415" s="47"/>
      <c r="B415" s="47"/>
      <c r="C415" s="47"/>
      <c r="D415" s="47"/>
      <c r="E415" s="47"/>
      <c r="F415" s="47"/>
      <c r="G415" s="47"/>
      <c r="H415" s="47"/>
    </row>
    <row r="416">
      <c r="A416" s="47"/>
      <c r="B416" s="47"/>
      <c r="C416" s="47"/>
      <c r="D416" s="47"/>
      <c r="E416" s="47"/>
      <c r="F416" s="47"/>
      <c r="G416" s="47"/>
      <c r="H416" s="47"/>
    </row>
    <row r="417">
      <c r="A417" s="47"/>
      <c r="B417" s="47"/>
      <c r="C417" s="47"/>
      <c r="D417" s="47"/>
      <c r="E417" s="47"/>
      <c r="F417" s="47"/>
      <c r="G417" s="47"/>
      <c r="H417" s="47"/>
    </row>
    <row r="418">
      <c r="A418" s="47"/>
      <c r="B418" s="47"/>
      <c r="C418" s="47"/>
      <c r="D418" s="47"/>
      <c r="E418" s="47"/>
      <c r="F418" s="47"/>
      <c r="G418" s="47"/>
      <c r="H418" s="47"/>
    </row>
    <row r="419">
      <c r="A419" s="47"/>
      <c r="B419" s="47"/>
      <c r="C419" s="47"/>
      <c r="D419" s="47"/>
      <c r="E419" s="47"/>
      <c r="F419" s="47"/>
      <c r="G419" s="47"/>
      <c r="H419" s="47"/>
    </row>
    <row r="420">
      <c r="A420" s="47"/>
      <c r="B420" s="47"/>
      <c r="C420" s="47"/>
      <c r="D420" s="47"/>
      <c r="E420" s="47"/>
      <c r="F420" s="47"/>
      <c r="G420" s="47"/>
      <c r="H420" s="47"/>
    </row>
    <row r="421">
      <c r="A421" s="47"/>
      <c r="B421" s="47"/>
      <c r="C421" s="47"/>
      <c r="D421" s="47"/>
      <c r="E421" s="47"/>
      <c r="F421" s="47"/>
      <c r="G421" s="47"/>
      <c r="H421" s="47"/>
    </row>
    <row r="422">
      <c r="A422" s="47"/>
      <c r="B422" s="47"/>
      <c r="C422" s="47"/>
      <c r="D422" s="47"/>
      <c r="E422" s="47"/>
      <c r="F422" s="47"/>
      <c r="G422" s="47"/>
      <c r="H422" s="47"/>
    </row>
    <row r="423">
      <c r="A423" s="47"/>
      <c r="B423" s="47"/>
      <c r="C423" s="47"/>
      <c r="D423" s="47"/>
      <c r="E423" s="47"/>
      <c r="F423" s="47"/>
      <c r="G423" s="47"/>
      <c r="H423" s="47"/>
    </row>
    <row r="424">
      <c r="A424" s="47"/>
      <c r="B424" s="47"/>
      <c r="C424" s="47"/>
      <c r="D424" s="47"/>
      <c r="E424" s="47"/>
      <c r="F424" s="47"/>
      <c r="G424" s="47"/>
      <c r="H424" s="47"/>
    </row>
    <row r="425">
      <c r="A425" s="47"/>
      <c r="B425" s="47"/>
      <c r="C425" s="47"/>
      <c r="D425" s="47"/>
      <c r="E425" s="47"/>
      <c r="F425" s="47"/>
      <c r="G425" s="47"/>
      <c r="H425" s="47"/>
    </row>
    <row r="426">
      <c r="A426" s="47"/>
      <c r="B426" s="47"/>
      <c r="C426" s="47"/>
      <c r="D426" s="47"/>
      <c r="E426" s="47"/>
      <c r="F426" s="47"/>
      <c r="G426" s="47"/>
      <c r="H426" s="47"/>
    </row>
    <row r="427">
      <c r="A427" s="47"/>
      <c r="B427" s="47"/>
      <c r="C427" s="47"/>
      <c r="D427" s="47"/>
      <c r="E427" s="47"/>
      <c r="F427" s="47"/>
      <c r="G427" s="47"/>
      <c r="H427" s="47"/>
    </row>
    <row r="428">
      <c r="A428" s="47"/>
      <c r="B428" s="47"/>
      <c r="C428" s="47"/>
      <c r="D428" s="47"/>
      <c r="E428" s="47"/>
      <c r="F428" s="47"/>
      <c r="G428" s="47"/>
      <c r="H428" s="47"/>
    </row>
    <row r="429">
      <c r="A429" s="47"/>
      <c r="B429" s="47"/>
      <c r="C429" s="47"/>
      <c r="D429" s="47"/>
      <c r="E429" s="47"/>
      <c r="F429" s="47"/>
      <c r="G429" s="47"/>
      <c r="H429" s="47"/>
    </row>
    <row r="430">
      <c r="A430" s="47"/>
      <c r="B430" s="47"/>
      <c r="C430" s="47"/>
      <c r="D430" s="47"/>
      <c r="E430" s="47"/>
      <c r="F430" s="47"/>
      <c r="G430" s="47"/>
      <c r="H430" s="47"/>
    </row>
    <row r="431">
      <c r="A431" s="47"/>
      <c r="B431" s="47"/>
      <c r="C431" s="47"/>
      <c r="D431" s="47"/>
      <c r="E431" s="47"/>
      <c r="F431" s="47"/>
      <c r="G431" s="47"/>
      <c r="H431" s="47"/>
    </row>
    <row r="432">
      <c r="A432" s="47"/>
      <c r="B432" s="47"/>
      <c r="C432" s="47"/>
      <c r="D432" s="47"/>
      <c r="E432" s="47"/>
      <c r="F432" s="47"/>
      <c r="G432" s="47"/>
      <c r="H432" s="47"/>
    </row>
    <row r="433">
      <c r="A433" s="47"/>
      <c r="B433" s="47"/>
      <c r="C433" s="47"/>
      <c r="D433" s="47"/>
      <c r="E433" s="47"/>
      <c r="F433" s="47"/>
      <c r="G433" s="47"/>
      <c r="H433" s="47"/>
    </row>
    <row r="434">
      <c r="A434" s="47"/>
      <c r="B434" s="47"/>
      <c r="C434" s="47"/>
      <c r="D434" s="47"/>
      <c r="E434" s="47"/>
      <c r="F434" s="47"/>
      <c r="G434" s="47"/>
      <c r="H434" s="47"/>
    </row>
    <row r="435">
      <c r="A435" s="47"/>
      <c r="B435" s="47"/>
      <c r="C435" s="47"/>
      <c r="D435" s="47"/>
      <c r="E435" s="47"/>
      <c r="F435" s="47"/>
      <c r="G435" s="47"/>
      <c r="H435" s="47"/>
    </row>
    <row r="436">
      <c r="A436" s="47"/>
      <c r="B436" s="47"/>
      <c r="C436" s="47"/>
      <c r="D436" s="47"/>
      <c r="E436" s="47"/>
      <c r="F436" s="47"/>
      <c r="G436" s="47"/>
      <c r="H436" s="47"/>
    </row>
    <row r="437">
      <c r="A437" s="47"/>
      <c r="B437" s="47"/>
      <c r="C437" s="47"/>
      <c r="D437" s="47"/>
      <c r="E437" s="47"/>
      <c r="F437" s="47"/>
      <c r="G437" s="47"/>
      <c r="H437" s="47"/>
    </row>
    <row r="438">
      <c r="A438" s="47"/>
      <c r="B438" s="47"/>
      <c r="C438" s="47"/>
      <c r="D438" s="47"/>
      <c r="E438" s="47"/>
      <c r="F438" s="47"/>
      <c r="G438" s="47"/>
      <c r="H438" s="47"/>
    </row>
    <row r="439">
      <c r="A439" s="47"/>
      <c r="B439" s="47"/>
      <c r="C439" s="47"/>
      <c r="D439" s="47"/>
      <c r="E439" s="47"/>
      <c r="F439" s="47"/>
      <c r="G439" s="47"/>
      <c r="H439" s="47"/>
    </row>
    <row r="440">
      <c r="A440" s="47"/>
      <c r="B440" s="47"/>
      <c r="C440" s="47"/>
      <c r="D440" s="47"/>
      <c r="E440" s="47"/>
      <c r="F440" s="47"/>
      <c r="G440" s="47"/>
      <c r="H440" s="47"/>
    </row>
    <row r="441">
      <c r="A441" s="47"/>
      <c r="B441" s="47"/>
      <c r="C441" s="47"/>
      <c r="D441" s="47"/>
      <c r="E441" s="47"/>
      <c r="F441" s="47"/>
      <c r="G441" s="47"/>
      <c r="H441" s="47"/>
    </row>
    <row r="442">
      <c r="A442" s="47"/>
      <c r="B442" s="47"/>
      <c r="C442" s="47"/>
      <c r="D442" s="47"/>
      <c r="E442" s="47"/>
      <c r="F442" s="47"/>
      <c r="G442" s="47"/>
      <c r="H442" s="47"/>
    </row>
    <row r="443">
      <c r="A443" s="47"/>
      <c r="B443" s="47"/>
      <c r="C443" s="47"/>
      <c r="D443" s="47"/>
      <c r="E443" s="47"/>
      <c r="F443" s="47"/>
      <c r="G443" s="47"/>
      <c r="H443" s="47"/>
    </row>
    <row r="444">
      <c r="A444" s="47"/>
      <c r="B444" s="47"/>
      <c r="C444" s="47"/>
      <c r="D444" s="47"/>
      <c r="E444" s="47"/>
      <c r="F444" s="47"/>
      <c r="G444" s="47"/>
      <c r="H444" s="47"/>
    </row>
    <row r="445">
      <c r="A445" s="47"/>
      <c r="B445" s="47"/>
      <c r="C445" s="47"/>
      <c r="D445" s="47"/>
      <c r="E445" s="47"/>
      <c r="F445" s="47"/>
      <c r="G445" s="47"/>
      <c r="H445" s="47"/>
    </row>
    <row r="446">
      <c r="A446" s="47"/>
      <c r="B446" s="47"/>
      <c r="C446" s="47"/>
      <c r="D446" s="47"/>
      <c r="E446" s="47"/>
      <c r="F446" s="47"/>
      <c r="G446" s="47"/>
      <c r="H446" s="47"/>
    </row>
    <row r="447">
      <c r="A447" s="47"/>
      <c r="B447" s="47"/>
      <c r="C447" s="47"/>
      <c r="D447" s="47"/>
      <c r="E447" s="47"/>
      <c r="F447" s="47"/>
      <c r="G447" s="47"/>
      <c r="H447" s="47"/>
    </row>
    <row r="448">
      <c r="A448" s="47"/>
      <c r="B448" s="47"/>
      <c r="C448" s="47"/>
      <c r="D448" s="47"/>
      <c r="E448" s="47"/>
      <c r="F448" s="47"/>
      <c r="G448" s="47"/>
      <c r="H448" s="47"/>
    </row>
    <row r="449">
      <c r="A449" s="47"/>
      <c r="B449" s="47"/>
      <c r="C449" s="47"/>
      <c r="D449" s="47"/>
      <c r="E449" s="47"/>
      <c r="F449" s="47"/>
      <c r="G449" s="47"/>
      <c r="H449" s="47"/>
    </row>
    <row r="450">
      <c r="A450" s="47"/>
      <c r="B450" s="47"/>
      <c r="C450" s="47"/>
      <c r="D450" s="47"/>
      <c r="E450" s="47"/>
      <c r="F450" s="47"/>
      <c r="G450" s="47"/>
      <c r="H450" s="47"/>
    </row>
    <row r="451">
      <c r="A451" s="47"/>
      <c r="B451" s="47"/>
      <c r="C451" s="47"/>
      <c r="D451" s="47"/>
      <c r="E451" s="47"/>
      <c r="F451" s="47"/>
      <c r="G451" s="47"/>
      <c r="H451" s="47"/>
    </row>
    <row r="452">
      <c r="A452" s="47"/>
      <c r="B452" s="47"/>
      <c r="C452" s="47"/>
      <c r="D452" s="47"/>
      <c r="E452" s="47"/>
      <c r="F452" s="47"/>
      <c r="G452" s="47"/>
      <c r="H452" s="47"/>
    </row>
    <row r="453">
      <c r="A453" s="47"/>
      <c r="B453" s="47"/>
      <c r="C453" s="47"/>
      <c r="D453" s="47"/>
      <c r="E453" s="47"/>
      <c r="F453" s="47"/>
      <c r="G453" s="47"/>
      <c r="H453" s="47"/>
    </row>
    <row r="454">
      <c r="A454" s="47"/>
      <c r="B454" s="47"/>
      <c r="C454" s="47"/>
      <c r="D454" s="47"/>
      <c r="E454" s="47"/>
      <c r="F454" s="47"/>
      <c r="G454" s="47"/>
      <c r="H454" s="47"/>
    </row>
    <row r="455">
      <c r="A455" s="47"/>
      <c r="B455" s="47"/>
      <c r="C455" s="47"/>
      <c r="D455" s="47"/>
      <c r="E455" s="47"/>
      <c r="F455" s="47"/>
      <c r="G455" s="47"/>
      <c r="H455" s="47"/>
    </row>
    <row r="456">
      <c r="A456" s="47"/>
      <c r="B456" s="47"/>
      <c r="C456" s="47"/>
      <c r="D456" s="47"/>
      <c r="E456" s="47"/>
      <c r="F456" s="47"/>
      <c r="G456" s="47"/>
      <c r="H456" s="47"/>
    </row>
    <row r="457">
      <c r="A457" s="47"/>
      <c r="B457" s="47"/>
      <c r="C457" s="47"/>
      <c r="D457" s="47"/>
      <c r="E457" s="47"/>
      <c r="F457" s="47"/>
      <c r="G457" s="47"/>
      <c r="H457" s="47"/>
    </row>
    <row r="458">
      <c r="A458" s="47"/>
      <c r="B458" s="47"/>
      <c r="C458" s="47"/>
      <c r="D458" s="47"/>
      <c r="E458" s="47"/>
      <c r="F458" s="47"/>
      <c r="G458" s="47"/>
      <c r="H458" s="47"/>
    </row>
    <row r="459">
      <c r="A459" s="47"/>
      <c r="B459" s="47"/>
      <c r="C459" s="47"/>
      <c r="D459" s="47"/>
      <c r="E459" s="47"/>
      <c r="F459" s="47"/>
      <c r="G459" s="47"/>
      <c r="H459" s="47"/>
    </row>
    <row r="460">
      <c r="A460" s="47"/>
      <c r="B460" s="47"/>
      <c r="C460" s="47"/>
      <c r="D460" s="47"/>
      <c r="E460" s="47"/>
      <c r="F460" s="47"/>
      <c r="G460" s="47"/>
      <c r="H460" s="47"/>
    </row>
    <row r="461">
      <c r="A461" s="47"/>
      <c r="B461" s="47"/>
      <c r="C461" s="47"/>
      <c r="D461" s="47"/>
      <c r="E461" s="47"/>
      <c r="F461" s="47"/>
      <c r="G461" s="47"/>
      <c r="H461" s="47"/>
    </row>
    <row r="462">
      <c r="A462" s="47"/>
      <c r="B462" s="47"/>
      <c r="C462" s="47"/>
      <c r="D462" s="47"/>
      <c r="E462" s="47"/>
      <c r="F462" s="47"/>
      <c r="G462" s="47"/>
      <c r="H462" s="47"/>
    </row>
    <row r="463">
      <c r="A463" s="47"/>
      <c r="B463" s="47"/>
      <c r="C463" s="47"/>
      <c r="D463" s="47"/>
      <c r="E463" s="47"/>
      <c r="F463" s="47"/>
      <c r="G463" s="47"/>
      <c r="H463" s="47"/>
    </row>
    <row r="464">
      <c r="A464" s="47"/>
      <c r="B464" s="47"/>
      <c r="C464" s="47"/>
      <c r="D464" s="47"/>
      <c r="E464" s="47"/>
      <c r="F464" s="47"/>
      <c r="G464" s="47"/>
      <c r="H464" s="47"/>
    </row>
    <row r="465">
      <c r="A465" s="47"/>
      <c r="B465" s="47"/>
      <c r="C465" s="47"/>
      <c r="D465" s="47"/>
      <c r="E465" s="47"/>
      <c r="F465" s="47"/>
      <c r="G465" s="47"/>
      <c r="H465" s="47"/>
    </row>
    <row r="466">
      <c r="A466" s="47"/>
      <c r="B466" s="47"/>
      <c r="C466" s="47"/>
      <c r="D466" s="47"/>
      <c r="E466" s="47"/>
      <c r="F466" s="47"/>
      <c r="G466" s="47"/>
      <c r="H466" s="47"/>
    </row>
    <row r="467">
      <c r="A467" s="47"/>
      <c r="B467" s="47"/>
      <c r="C467" s="47"/>
      <c r="D467" s="47"/>
      <c r="E467" s="47"/>
      <c r="F467" s="47"/>
      <c r="G467" s="47"/>
      <c r="H467" s="47"/>
    </row>
    <row r="468">
      <c r="A468" s="47"/>
      <c r="B468" s="47"/>
      <c r="C468" s="47"/>
      <c r="D468" s="47"/>
      <c r="E468" s="47"/>
      <c r="F468" s="47"/>
      <c r="G468" s="47"/>
      <c r="H468" s="47"/>
    </row>
    <row r="469">
      <c r="A469" s="47"/>
      <c r="B469" s="47"/>
      <c r="C469" s="47"/>
      <c r="D469" s="47"/>
      <c r="E469" s="47"/>
      <c r="F469" s="47"/>
      <c r="G469" s="47"/>
      <c r="H469" s="47"/>
    </row>
    <row r="470">
      <c r="A470" s="47"/>
      <c r="B470" s="47"/>
      <c r="C470" s="47"/>
      <c r="D470" s="47"/>
      <c r="E470" s="47"/>
      <c r="F470" s="47"/>
      <c r="G470" s="47"/>
      <c r="H470" s="47"/>
    </row>
    <row r="471">
      <c r="A471" s="47"/>
      <c r="B471" s="47"/>
      <c r="C471" s="47"/>
      <c r="D471" s="47"/>
      <c r="E471" s="47"/>
      <c r="F471" s="47"/>
      <c r="G471" s="47"/>
      <c r="H471" s="47"/>
    </row>
    <row r="472">
      <c r="A472" s="47"/>
      <c r="B472" s="47"/>
      <c r="C472" s="47"/>
      <c r="D472" s="47"/>
      <c r="E472" s="47"/>
      <c r="F472" s="47"/>
      <c r="G472" s="47"/>
      <c r="H472" s="47"/>
    </row>
    <row r="473">
      <c r="A473" s="47"/>
      <c r="B473" s="47"/>
      <c r="C473" s="47"/>
      <c r="D473" s="47"/>
      <c r="E473" s="47"/>
      <c r="F473" s="47"/>
      <c r="G473" s="47"/>
      <c r="H473" s="47"/>
    </row>
    <row r="474">
      <c r="A474" s="47"/>
      <c r="B474" s="47"/>
      <c r="C474" s="47"/>
      <c r="D474" s="47"/>
      <c r="E474" s="47"/>
      <c r="F474" s="47"/>
      <c r="G474" s="47"/>
      <c r="H474" s="47"/>
    </row>
    <row r="475">
      <c r="A475" s="47"/>
      <c r="B475" s="47"/>
      <c r="C475" s="47"/>
      <c r="D475" s="47"/>
      <c r="E475" s="47"/>
      <c r="F475" s="47"/>
      <c r="G475" s="47"/>
      <c r="H475" s="47"/>
    </row>
    <row r="476">
      <c r="A476" s="47"/>
      <c r="B476" s="47"/>
      <c r="C476" s="47"/>
      <c r="D476" s="47"/>
      <c r="E476" s="47"/>
      <c r="F476" s="47"/>
      <c r="G476" s="47"/>
      <c r="H476" s="47"/>
    </row>
    <row r="477">
      <c r="A477" s="47"/>
      <c r="B477" s="47"/>
      <c r="C477" s="47"/>
      <c r="D477" s="47"/>
      <c r="E477" s="47"/>
      <c r="F477" s="47"/>
      <c r="G477" s="47"/>
      <c r="H477" s="47"/>
    </row>
    <row r="478">
      <c r="A478" s="47"/>
      <c r="B478" s="47"/>
      <c r="C478" s="47"/>
      <c r="D478" s="47"/>
      <c r="E478" s="47"/>
      <c r="F478" s="47"/>
      <c r="G478" s="47"/>
      <c r="H478" s="47"/>
    </row>
    <row r="479">
      <c r="A479" s="47"/>
      <c r="B479" s="47"/>
      <c r="C479" s="47"/>
      <c r="D479" s="47"/>
      <c r="E479" s="47"/>
      <c r="F479" s="47"/>
      <c r="G479" s="47"/>
      <c r="H479" s="47"/>
    </row>
    <row r="480">
      <c r="A480" s="47"/>
      <c r="B480" s="47"/>
      <c r="C480" s="47"/>
      <c r="D480" s="47"/>
      <c r="E480" s="47"/>
      <c r="F480" s="47"/>
      <c r="G480" s="47"/>
      <c r="H480" s="47"/>
    </row>
    <row r="481">
      <c r="A481" s="47"/>
      <c r="B481" s="47"/>
      <c r="C481" s="47"/>
      <c r="D481" s="47"/>
      <c r="E481" s="47"/>
      <c r="F481" s="47"/>
      <c r="G481" s="47"/>
      <c r="H481" s="47"/>
    </row>
    <row r="482">
      <c r="A482" s="47"/>
      <c r="B482" s="47"/>
      <c r="C482" s="47"/>
      <c r="D482" s="47"/>
      <c r="E482" s="47"/>
      <c r="F482" s="47"/>
      <c r="G482" s="47"/>
      <c r="H482" s="47"/>
    </row>
    <row r="483">
      <c r="A483" s="47"/>
      <c r="B483" s="47"/>
      <c r="C483" s="47"/>
      <c r="D483" s="47"/>
      <c r="E483" s="47"/>
      <c r="F483" s="47"/>
      <c r="G483" s="47"/>
      <c r="H483" s="47"/>
    </row>
    <row r="484">
      <c r="A484" s="47"/>
      <c r="B484" s="47"/>
      <c r="C484" s="47"/>
      <c r="D484" s="47"/>
      <c r="E484" s="47"/>
      <c r="F484" s="47"/>
      <c r="G484" s="47"/>
      <c r="H484" s="47"/>
    </row>
    <row r="485">
      <c r="A485" s="47"/>
      <c r="B485" s="47"/>
      <c r="C485" s="47"/>
      <c r="D485" s="47"/>
      <c r="E485" s="47"/>
      <c r="F485" s="47"/>
      <c r="G485" s="47"/>
      <c r="H485" s="47"/>
    </row>
    <row r="486">
      <c r="A486" s="47"/>
      <c r="B486" s="47"/>
      <c r="C486" s="47"/>
      <c r="D486" s="47"/>
      <c r="E486" s="47"/>
      <c r="F486" s="47"/>
      <c r="G486" s="47"/>
      <c r="H486" s="47"/>
    </row>
    <row r="487">
      <c r="A487" s="47"/>
      <c r="B487" s="47"/>
      <c r="C487" s="47"/>
      <c r="D487" s="47"/>
      <c r="E487" s="47"/>
      <c r="F487" s="47"/>
      <c r="G487" s="47"/>
      <c r="H487" s="47"/>
    </row>
    <row r="488">
      <c r="A488" s="47"/>
      <c r="B488" s="47"/>
      <c r="C488" s="47"/>
      <c r="D488" s="47"/>
      <c r="E488" s="47"/>
      <c r="F488" s="47"/>
      <c r="G488" s="47"/>
      <c r="H488" s="47"/>
    </row>
    <row r="489">
      <c r="A489" s="47"/>
      <c r="B489" s="47"/>
      <c r="C489" s="47"/>
      <c r="D489" s="47"/>
      <c r="E489" s="47"/>
      <c r="F489" s="47"/>
      <c r="G489" s="47"/>
      <c r="H489" s="47"/>
    </row>
    <row r="490">
      <c r="A490" s="47"/>
      <c r="B490" s="47"/>
      <c r="C490" s="47"/>
      <c r="D490" s="47"/>
      <c r="E490" s="47"/>
      <c r="F490" s="47"/>
      <c r="G490" s="47"/>
      <c r="H490" s="47"/>
    </row>
    <row r="491">
      <c r="A491" s="47"/>
      <c r="B491" s="47"/>
      <c r="C491" s="47"/>
      <c r="D491" s="47"/>
      <c r="E491" s="47"/>
      <c r="F491" s="47"/>
      <c r="G491" s="47"/>
      <c r="H491" s="47"/>
    </row>
    <row r="492">
      <c r="A492" s="47"/>
      <c r="B492" s="47"/>
      <c r="C492" s="47"/>
      <c r="D492" s="47"/>
      <c r="E492" s="47"/>
      <c r="F492" s="47"/>
      <c r="G492" s="47"/>
      <c r="H492" s="47"/>
    </row>
    <row r="493">
      <c r="A493" s="47"/>
      <c r="B493" s="47"/>
      <c r="C493" s="47"/>
      <c r="D493" s="47"/>
      <c r="E493" s="47"/>
      <c r="F493" s="47"/>
      <c r="G493" s="47"/>
      <c r="H493" s="47"/>
    </row>
    <row r="494">
      <c r="A494" s="47"/>
      <c r="B494" s="47"/>
      <c r="C494" s="47"/>
      <c r="D494" s="47"/>
      <c r="E494" s="47"/>
      <c r="F494" s="47"/>
      <c r="G494" s="47"/>
      <c r="H494" s="47"/>
    </row>
    <row r="495">
      <c r="A495" s="47"/>
      <c r="B495" s="47"/>
      <c r="C495" s="47"/>
      <c r="D495" s="47"/>
      <c r="E495" s="47"/>
      <c r="F495" s="47"/>
      <c r="G495" s="47"/>
      <c r="H495" s="47"/>
    </row>
    <row r="496">
      <c r="A496" s="47"/>
      <c r="B496" s="47"/>
      <c r="C496" s="47"/>
      <c r="D496" s="47"/>
      <c r="E496" s="47"/>
      <c r="F496" s="47"/>
      <c r="G496" s="47"/>
      <c r="H496" s="47"/>
    </row>
    <row r="497">
      <c r="A497" s="47"/>
      <c r="B497" s="47"/>
      <c r="C497" s="47"/>
      <c r="D497" s="47"/>
      <c r="E497" s="47"/>
      <c r="F497" s="47"/>
      <c r="G497" s="47"/>
      <c r="H497" s="47"/>
    </row>
    <row r="498">
      <c r="A498" s="47"/>
      <c r="B498" s="47"/>
      <c r="C498" s="47"/>
      <c r="D498" s="47"/>
      <c r="E498" s="47"/>
      <c r="F498" s="47"/>
      <c r="G498" s="47"/>
      <c r="H498" s="47"/>
    </row>
    <row r="499">
      <c r="A499" s="47"/>
      <c r="B499" s="47"/>
      <c r="C499" s="47"/>
      <c r="D499" s="47"/>
      <c r="E499" s="47"/>
      <c r="F499" s="47"/>
      <c r="G499" s="47"/>
      <c r="H499" s="47"/>
    </row>
    <row r="500">
      <c r="A500" s="47"/>
      <c r="B500" s="47"/>
      <c r="C500" s="47"/>
      <c r="D500" s="47"/>
      <c r="E500" s="47"/>
      <c r="F500" s="47"/>
      <c r="G500" s="47"/>
      <c r="H500" s="47"/>
    </row>
    <row r="501">
      <c r="A501" s="47"/>
      <c r="B501" s="47"/>
      <c r="C501" s="47"/>
      <c r="D501" s="47"/>
      <c r="E501" s="47"/>
      <c r="F501" s="47"/>
      <c r="G501" s="47"/>
      <c r="H501" s="47"/>
    </row>
    <row r="502">
      <c r="A502" s="47"/>
      <c r="B502" s="47"/>
      <c r="C502" s="47"/>
      <c r="D502" s="47"/>
      <c r="E502" s="47"/>
      <c r="F502" s="47"/>
      <c r="G502" s="47"/>
      <c r="H502" s="47"/>
    </row>
    <row r="503">
      <c r="A503" s="47"/>
      <c r="B503" s="47"/>
      <c r="C503" s="47"/>
      <c r="D503" s="47"/>
      <c r="E503" s="47"/>
      <c r="F503" s="47"/>
      <c r="G503" s="47"/>
      <c r="H503" s="47"/>
    </row>
    <row r="504">
      <c r="A504" s="47"/>
      <c r="B504" s="47"/>
      <c r="C504" s="47"/>
      <c r="D504" s="47"/>
      <c r="E504" s="47"/>
      <c r="F504" s="47"/>
      <c r="G504" s="47"/>
      <c r="H504" s="47"/>
    </row>
    <row r="505">
      <c r="A505" s="47"/>
      <c r="B505" s="47"/>
      <c r="C505" s="47"/>
      <c r="D505" s="47"/>
      <c r="E505" s="47"/>
      <c r="F505" s="47"/>
      <c r="G505" s="47"/>
      <c r="H505" s="47"/>
    </row>
    <row r="506">
      <c r="A506" s="47"/>
      <c r="B506" s="47"/>
      <c r="C506" s="47"/>
      <c r="D506" s="47"/>
      <c r="E506" s="47"/>
      <c r="F506" s="47"/>
      <c r="G506" s="47"/>
      <c r="H506" s="47"/>
    </row>
    <row r="507">
      <c r="A507" s="47"/>
      <c r="B507" s="47"/>
      <c r="C507" s="47"/>
      <c r="D507" s="47"/>
      <c r="E507" s="47"/>
      <c r="F507" s="47"/>
      <c r="G507" s="47"/>
      <c r="H507" s="47"/>
    </row>
    <row r="508">
      <c r="A508" s="47"/>
      <c r="B508" s="47"/>
      <c r="C508" s="47"/>
      <c r="D508" s="47"/>
      <c r="E508" s="47"/>
      <c r="F508" s="47"/>
      <c r="G508" s="47"/>
      <c r="H508" s="47"/>
    </row>
    <row r="509">
      <c r="A509" s="47"/>
      <c r="B509" s="47"/>
      <c r="C509" s="47"/>
      <c r="D509" s="47"/>
      <c r="E509" s="47"/>
      <c r="F509" s="47"/>
      <c r="G509" s="47"/>
      <c r="H509" s="47"/>
    </row>
    <row r="510">
      <c r="A510" s="47"/>
      <c r="B510" s="47"/>
      <c r="C510" s="47"/>
      <c r="D510" s="47"/>
      <c r="E510" s="47"/>
      <c r="F510" s="47"/>
      <c r="G510" s="47"/>
      <c r="H510" s="47"/>
    </row>
    <row r="511">
      <c r="A511" s="47"/>
      <c r="B511" s="47"/>
      <c r="C511" s="47"/>
      <c r="D511" s="47"/>
      <c r="E511" s="47"/>
      <c r="F511" s="47"/>
      <c r="G511" s="47"/>
      <c r="H511" s="47"/>
    </row>
    <row r="512">
      <c r="A512" s="47"/>
      <c r="B512" s="47"/>
      <c r="C512" s="47"/>
      <c r="D512" s="47"/>
      <c r="E512" s="47"/>
      <c r="F512" s="47"/>
      <c r="G512" s="47"/>
      <c r="H512" s="47"/>
    </row>
    <row r="513">
      <c r="A513" s="47"/>
      <c r="B513" s="47"/>
      <c r="C513" s="47"/>
      <c r="D513" s="47"/>
      <c r="E513" s="47"/>
      <c r="F513" s="47"/>
      <c r="G513" s="47"/>
      <c r="H513" s="47"/>
    </row>
    <row r="514">
      <c r="A514" s="47"/>
      <c r="B514" s="47"/>
      <c r="C514" s="47"/>
      <c r="D514" s="47"/>
      <c r="E514" s="47"/>
      <c r="F514" s="47"/>
      <c r="G514" s="47"/>
      <c r="H514" s="47"/>
    </row>
    <row r="515">
      <c r="A515" s="47"/>
      <c r="B515" s="47"/>
      <c r="C515" s="47"/>
      <c r="D515" s="47"/>
      <c r="E515" s="47"/>
      <c r="F515" s="47"/>
      <c r="G515" s="47"/>
      <c r="H515" s="47"/>
    </row>
    <row r="516">
      <c r="A516" s="47"/>
      <c r="B516" s="47"/>
      <c r="C516" s="47"/>
      <c r="D516" s="47"/>
      <c r="E516" s="47"/>
      <c r="F516" s="47"/>
      <c r="G516" s="47"/>
      <c r="H516" s="47"/>
    </row>
    <row r="517">
      <c r="A517" s="47"/>
      <c r="B517" s="47"/>
      <c r="C517" s="47"/>
      <c r="D517" s="47"/>
      <c r="E517" s="47"/>
      <c r="F517" s="47"/>
      <c r="G517" s="47"/>
      <c r="H517" s="47"/>
    </row>
    <row r="518">
      <c r="A518" s="47"/>
      <c r="B518" s="47"/>
      <c r="C518" s="47"/>
      <c r="D518" s="47"/>
      <c r="E518" s="47"/>
      <c r="F518" s="47"/>
      <c r="G518" s="47"/>
      <c r="H518" s="47"/>
    </row>
    <row r="519">
      <c r="A519" s="47"/>
      <c r="B519" s="47"/>
      <c r="C519" s="47"/>
      <c r="D519" s="47"/>
      <c r="E519" s="47"/>
      <c r="F519" s="47"/>
      <c r="G519" s="47"/>
      <c r="H519" s="47"/>
    </row>
    <row r="520">
      <c r="A520" s="47"/>
      <c r="B520" s="47"/>
      <c r="C520" s="47"/>
      <c r="D520" s="47"/>
      <c r="E520" s="47"/>
      <c r="F520" s="47"/>
      <c r="G520" s="47"/>
      <c r="H520" s="47"/>
    </row>
    <row r="521">
      <c r="A521" s="47"/>
      <c r="B521" s="47"/>
      <c r="C521" s="47"/>
      <c r="D521" s="47"/>
      <c r="E521" s="47"/>
      <c r="F521" s="47"/>
      <c r="G521" s="47"/>
      <c r="H521" s="47"/>
    </row>
    <row r="522">
      <c r="A522" s="47"/>
      <c r="B522" s="47"/>
      <c r="C522" s="47"/>
      <c r="D522" s="47"/>
      <c r="E522" s="47"/>
      <c r="F522" s="47"/>
      <c r="G522" s="47"/>
      <c r="H522" s="47"/>
    </row>
    <row r="523">
      <c r="A523" s="47"/>
      <c r="B523" s="47"/>
      <c r="C523" s="47"/>
      <c r="D523" s="47"/>
      <c r="E523" s="47"/>
      <c r="F523" s="47"/>
      <c r="G523" s="47"/>
      <c r="H523" s="47"/>
    </row>
    <row r="524">
      <c r="A524" s="47"/>
      <c r="B524" s="47"/>
      <c r="C524" s="47"/>
      <c r="D524" s="47"/>
      <c r="E524" s="47"/>
      <c r="F524" s="47"/>
      <c r="G524" s="47"/>
      <c r="H524" s="47"/>
    </row>
    <row r="525">
      <c r="A525" s="47"/>
      <c r="B525" s="47"/>
      <c r="C525" s="47"/>
      <c r="D525" s="47"/>
      <c r="E525" s="47"/>
      <c r="F525" s="47"/>
      <c r="G525" s="47"/>
      <c r="H525" s="47"/>
    </row>
    <row r="526">
      <c r="A526" s="47"/>
      <c r="B526" s="47"/>
      <c r="C526" s="47"/>
      <c r="D526" s="47"/>
      <c r="E526" s="47"/>
      <c r="F526" s="47"/>
      <c r="G526" s="47"/>
      <c r="H526" s="47"/>
    </row>
    <row r="527">
      <c r="A527" s="47"/>
      <c r="B527" s="47"/>
      <c r="C527" s="47"/>
      <c r="D527" s="47"/>
      <c r="E527" s="47"/>
      <c r="F527" s="47"/>
      <c r="G527" s="47"/>
      <c r="H527" s="47"/>
    </row>
    <row r="528">
      <c r="A528" s="47"/>
      <c r="B528" s="47"/>
      <c r="C528" s="47"/>
      <c r="D528" s="47"/>
      <c r="E528" s="47"/>
      <c r="F528" s="47"/>
      <c r="G528" s="47"/>
      <c r="H528" s="47"/>
    </row>
    <row r="529">
      <c r="A529" s="47"/>
      <c r="B529" s="47"/>
      <c r="C529" s="47"/>
      <c r="D529" s="47"/>
      <c r="E529" s="47"/>
      <c r="F529" s="47"/>
      <c r="G529" s="47"/>
      <c r="H529" s="47"/>
    </row>
    <row r="530">
      <c r="A530" s="47"/>
      <c r="B530" s="47"/>
      <c r="C530" s="47"/>
      <c r="D530" s="47"/>
      <c r="E530" s="47"/>
      <c r="F530" s="47"/>
      <c r="G530" s="47"/>
      <c r="H530" s="47"/>
    </row>
    <row r="531">
      <c r="A531" s="47"/>
      <c r="B531" s="47"/>
      <c r="C531" s="47"/>
      <c r="D531" s="47"/>
      <c r="E531" s="47"/>
      <c r="F531" s="47"/>
      <c r="G531" s="47"/>
      <c r="H531" s="47"/>
    </row>
    <row r="532">
      <c r="A532" s="47"/>
      <c r="B532" s="47"/>
      <c r="C532" s="47"/>
      <c r="D532" s="47"/>
      <c r="E532" s="47"/>
      <c r="F532" s="47"/>
      <c r="G532" s="47"/>
      <c r="H532" s="47"/>
    </row>
    <row r="533">
      <c r="A533" s="47"/>
      <c r="B533" s="47"/>
      <c r="C533" s="47"/>
      <c r="D533" s="47"/>
      <c r="E533" s="47"/>
      <c r="F533" s="47"/>
      <c r="G533" s="47"/>
      <c r="H533" s="47"/>
    </row>
    <row r="534">
      <c r="A534" s="47"/>
      <c r="B534" s="47"/>
      <c r="C534" s="47"/>
      <c r="D534" s="47"/>
      <c r="E534" s="47"/>
      <c r="F534" s="47"/>
      <c r="G534" s="47"/>
      <c r="H534" s="47"/>
    </row>
    <row r="535">
      <c r="A535" s="47"/>
      <c r="B535" s="47"/>
      <c r="C535" s="47"/>
      <c r="D535" s="47"/>
      <c r="E535" s="47"/>
      <c r="F535" s="47"/>
      <c r="G535" s="47"/>
      <c r="H535" s="47"/>
    </row>
    <row r="536">
      <c r="A536" s="47"/>
      <c r="B536" s="47"/>
      <c r="C536" s="47"/>
      <c r="D536" s="47"/>
      <c r="E536" s="47"/>
      <c r="F536" s="47"/>
      <c r="G536" s="47"/>
      <c r="H536" s="47"/>
    </row>
    <row r="537">
      <c r="A537" s="47"/>
      <c r="B537" s="47"/>
      <c r="C537" s="47"/>
      <c r="D537" s="47"/>
      <c r="E537" s="47"/>
      <c r="F537" s="47"/>
      <c r="G537" s="47"/>
      <c r="H537" s="47"/>
    </row>
    <row r="538">
      <c r="A538" s="47"/>
      <c r="B538" s="47"/>
      <c r="C538" s="47"/>
      <c r="D538" s="47"/>
      <c r="E538" s="47"/>
      <c r="F538" s="47"/>
      <c r="G538" s="47"/>
      <c r="H538" s="47"/>
    </row>
    <row r="539">
      <c r="A539" s="47"/>
      <c r="B539" s="47"/>
      <c r="C539" s="47"/>
      <c r="D539" s="47"/>
      <c r="E539" s="47"/>
      <c r="F539" s="47"/>
      <c r="G539" s="47"/>
      <c r="H539" s="47"/>
    </row>
    <row r="540">
      <c r="A540" s="47"/>
      <c r="B540" s="47"/>
      <c r="C540" s="47"/>
      <c r="D540" s="47"/>
      <c r="E540" s="47"/>
      <c r="F540" s="47"/>
      <c r="G540" s="47"/>
      <c r="H540" s="47"/>
    </row>
    <row r="541">
      <c r="A541" s="47"/>
      <c r="B541" s="47"/>
      <c r="C541" s="47"/>
      <c r="D541" s="47"/>
      <c r="E541" s="47"/>
      <c r="F541" s="47"/>
      <c r="G541" s="47"/>
      <c r="H541" s="47"/>
    </row>
    <row r="542">
      <c r="A542" s="47"/>
      <c r="B542" s="47"/>
      <c r="C542" s="47"/>
      <c r="D542" s="47"/>
      <c r="E542" s="47"/>
      <c r="F542" s="47"/>
      <c r="G542" s="47"/>
      <c r="H542" s="47"/>
    </row>
    <row r="543">
      <c r="A543" s="47"/>
      <c r="B543" s="47"/>
      <c r="C543" s="47"/>
      <c r="D543" s="47"/>
      <c r="E543" s="47"/>
      <c r="F543" s="47"/>
      <c r="G543" s="47"/>
      <c r="H543" s="47"/>
    </row>
    <row r="544">
      <c r="A544" s="47"/>
      <c r="B544" s="47"/>
      <c r="C544" s="47"/>
      <c r="D544" s="47"/>
      <c r="E544" s="47"/>
      <c r="F544" s="47"/>
      <c r="G544" s="47"/>
      <c r="H544" s="47"/>
    </row>
    <row r="545">
      <c r="A545" s="47"/>
      <c r="B545" s="47"/>
      <c r="C545" s="47"/>
      <c r="D545" s="47"/>
      <c r="E545" s="47"/>
      <c r="F545" s="47"/>
      <c r="G545" s="47"/>
      <c r="H545" s="47"/>
    </row>
    <row r="546">
      <c r="A546" s="47"/>
      <c r="B546" s="47"/>
      <c r="C546" s="47"/>
      <c r="D546" s="47"/>
      <c r="E546" s="47"/>
      <c r="F546" s="47"/>
      <c r="G546" s="47"/>
      <c r="H546" s="47"/>
    </row>
    <row r="547">
      <c r="A547" s="47"/>
      <c r="B547" s="47"/>
      <c r="C547" s="47"/>
      <c r="D547" s="47"/>
      <c r="E547" s="47"/>
      <c r="F547" s="47"/>
      <c r="G547" s="47"/>
      <c r="H547" s="47"/>
    </row>
    <row r="548">
      <c r="A548" s="47"/>
      <c r="B548" s="47"/>
      <c r="C548" s="47"/>
      <c r="D548" s="47"/>
      <c r="E548" s="47"/>
      <c r="F548" s="47"/>
      <c r="G548" s="47"/>
      <c r="H548" s="47"/>
    </row>
    <row r="549">
      <c r="A549" s="47"/>
      <c r="B549" s="47"/>
      <c r="C549" s="47"/>
      <c r="D549" s="47"/>
      <c r="E549" s="47"/>
      <c r="F549" s="47"/>
      <c r="G549" s="47"/>
      <c r="H549" s="47"/>
    </row>
    <row r="550">
      <c r="A550" s="47"/>
      <c r="B550" s="47"/>
      <c r="C550" s="47"/>
      <c r="D550" s="47"/>
      <c r="E550" s="47"/>
      <c r="F550" s="47"/>
      <c r="G550" s="47"/>
      <c r="H550" s="47"/>
    </row>
    <row r="551">
      <c r="A551" s="47"/>
      <c r="B551" s="47"/>
      <c r="C551" s="47"/>
      <c r="D551" s="47"/>
      <c r="E551" s="47"/>
      <c r="F551" s="47"/>
      <c r="G551" s="47"/>
      <c r="H551" s="47"/>
    </row>
    <row r="552">
      <c r="A552" s="47"/>
      <c r="B552" s="47"/>
      <c r="C552" s="47"/>
      <c r="D552" s="47"/>
      <c r="E552" s="47"/>
      <c r="F552" s="47"/>
      <c r="G552" s="47"/>
      <c r="H552" s="47"/>
    </row>
    <row r="553">
      <c r="A553" s="47"/>
      <c r="B553" s="47"/>
      <c r="C553" s="47"/>
      <c r="D553" s="47"/>
      <c r="E553" s="47"/>
      <c r="F553" s="47"/>
      <c r="G553" s="47"/>
      <c r="H553" s="47"/>
    </row>
    <row r="554">
      <c r="A554" s="47"/>
      <c r="B554" s="47"/>
      <c r="C554" s="47"/>
      <c r="D554" s="47"/>
      <c r="E554" s="47"/>
      <c r="F554" s="47"/>
      <c r="G554" s="47"/>
      <c r="H554" s="47"/>
    </row>
    <row r="555">
      <c r="A555" s="47"/>
      <c r="B555" s="47"/>
      <c r="C555" s="47"/>
      <c r="D555" s="47"/>
      <c r="E555" s="47"/>
      <c r="F555" s="47"/>
      <c r="G555" s="47"/>
      <c r="H555" s="47"/>
    </row>
    <row r="556">
      <c r="A556" s="47"/>
      <c r="B556" s="47"/>
      <c r="C556" s="47"/>
      <c r="D556" s="47"/>
      <c r="E556" s="47"/>
      <c r="F556" s="47"/>
      <c r="G556" s="47"/>
      <c r="H556" s="47"/>
    </row>
    <row r="557">
      <c r="A557" s="47"/>
      <c r="B557" s="47"/>
      <c r="C557" s="47"/>
      <c r="D557" s="47"/>
      <c r="E557" s="47"/>
      <c r="F557" s="47"/>
      <c r="G557" s="47"/>
      <c r="H557" s="47"/>
    </row>
    <row r="558">
      <c r="A558" s="47"/>
      <c r="B558" s="47"/>
      <c r="C558" s="47"/>
      <c r="D558" s="47"/>
      <c r="E558" s="47"/>
      <c r="F558" s="47"/>
      <c r="G558" s="47"/>
      <c r="H558" s="47"/>
    </row>
    <row r="559">
      <c r="A559" s="47"/>
      <c r="B559" s="47"/>
      <c r="C559" s="47"/>
      <c r="D559" s="47"/>
      <c r="E559" s="47"/>
      <c r="F559" s="47"/>
      <c r="G559" s="47"/>
      <c r="H559" s="47"/>
    </row>
    <row r="560">
      <c r="A560" s="47"/>
      <c r="B560" s="47"/>
      <c r="C560" s="47"/>
      <c r="D560" s="47"/>
      <c r="E560" s="47"/>
      <c r="F560" s="47"/>
      <c r="G560" s="47"/>
      <c r="H560" s="47"/>
    </row>
    <row r="561">
      <c r="A561" s="47"/>
      <c r="B561" s="47"/>
      <c r="C561" s="47"/>
      <c r="D561" s="47"/>
      <c r="E561" s="47"/>
      <c r="F561" s="47"/>
      <c r="G561" s="47"/>
      <c r="H561" s="47"/>
    </row>
    <row r="562">
      <c r="A562" s="47"/>
      <c r="B562" s="47"/>
      <c r="C562" s="47"/>
      <c r="D562" s="47"/>
      <c r="E562" s="47"/>
      <c r="F562" s="47"/>
      <c r="G562" s="47"/>
      <c r="H562" s="47"/>
    </row>
    <row r="563">
      <c r="A563" s="47"/>
      <c r="B563" s="47"/>
      <c r="C563" s="47"/>
      <c r="D563" s="47"/>
      <c r="E563" s="47"/>
      <c r="F563" s="47"/>
      <c r="G563" s="47"/>
      <c r="H563" s="47"/>
    </row>
    <row r="564">
      <c r="A564" s="47"/>
      <c r="B564" s="47"/>
      <c r="C564" s="47"/>
      <c r="D564" s="47"/>
      <c r="E564" s="47"/>
      <c r="F564" s="47"/>
      <c r="G564" s="47"/>
      <c r="H564" s="47"/>
    </row>
    <row r="565">
      <c r="A565" s="47"/>
      <c r="B565" s="47"/>
      <c r="C565" s="47"/>
      <c r="D565" s="47"/>
      <c r="E565" s="47"/>
      <c r="F565" s="47"/>
      <c r="G565" s="47"/>
      <c r="H565" s="47"/>
    </row>
    <row r="566">
      <c r="A566" s="47"/>
      <c r="B566" s="47"/>
      <c r="C566" s="47"/>
      <c r="D566" s="47"/>
      <c r="E566" s="47"/>
      <c r="F566" s="47"/>
      <c r="G566" s="47"/>
      <c r="H566" s="47"/>
    </row>
    <row r="567">
      <c r="A567" s="47"/>
      <c r="B567" s="47"/>
      <c r="C567" s="47"/>
      <c r="D567" s="47"/>
      <c r="E567" s="47"/>
      <c r="F567" s="47"/>
      <c r="G567" s="47"/>
      <c r="H567" s="47"/>
    </row>
    <row r="568">
      <c r="A568" s="47"/>
      <c r="B568" s="47"/>
      <c r="C568" s="47"/>
      <c r="D568" s="47"/>
      <c r="E568" s="47"/>
      <c r="F568" s="47"/>
      <c r="G568" s="47"/>
      <c r="H568" s="47"/>
    </row>
    <row r="569">
      <c r="A569" s="47"/>
      <c r="B569" s="47"/>
      <c r="C569" s="47"/>
      <c r="D569" s="47"/>
      <c r="E569" s="47"/>
      <c r="F569" s="47"/>
      <c r="G569" s="47"/>
      <c r="H569" s="47"/>
    </row>
    <row r="570">
      <c r="A570" s="47"/>
      <c r="B570" s="47"/>
      <c r="C570" s="47"/>
      <c r="D570" s="47"/>
      <c r="E570" s="47"/>
      <c r="F570" s="47"/>
      <c r="G570" s="47"/>
      <c r="H570" s="47"/>
    </row>
    <row r="571">
      <c r="A571" s="47"/>
      <c r="B571" s="47"/>
      <c r="C571" s="47"/>
      <c r="D571" s="47"/>
      <c r="E571" s="47"/>
      <c r="F571" s="47"/>
      <c r="G571" s="47"/>
      <c r="H571" s="47"/>
    </row>
    <row r="572">
      <c r="A572" s="47"/>
      <c r="B572" s="47"/>
      <c r="C572" s="47"/>
      <c r="D572" s="47"/>
      <c r="E572" s="47"/>
      <c r="F572" s="47"/>
      <c r="G572" s="47"/>
      <c r="H572" s="47"/>
    </row>
    <row r="573">
      <c r="A573" s="47"/>
      <c r="B573" s="47"/>
      <c r="C573" s="47"/>
      <c r="D573" s="47"/>
      <c r="E573" s="47"/>
      <c r="F573" s="47"/>
      <c r="G573" s="47"/>
      <c r="H573" s="47"/>
    </row>
    <row r="574">
      <c r="A574" s="47"/>
      <c r="B574" s="47"/>
      <c r="C574" s="47"/>
      <c r="D574" s="47"/>
      <c r="E574" s="47"/>
      <c r="F574" s="47"/>
      <c r="G574" s="47"/>
      <c r="H574" s="47"/>
    </row>
    <row r="575">
      <c r="A575" s="47"/>
      <c r="B575" s="47"/>
      <c r="C575" s="47"/>
      <c r="D575" s="47"/>
      <c r="E575" s="47"/>
      <c r="F575" s="47"/>
      <c r="G575" s="47"/>
      <c r="H575" s="47"/>
    </row>
    <row r="576">
      <c r="A576" s="47"/>
      <c r="B576" s="47"/>
      <c r="C576" s="47"/>
      <c r="D576" s="47"/>
      <c r="E576" s="47"/>
      <c r="F576" s="47"/>
      <c r="G576" s="47"/>
      <c r="H576" s="47"/>
    </row>
    <row r="577">
      <c r="A577" s="47"/>
      <c r="B577" s="47"/>
      <c r="C577" s="47"/>
      <c r="D577" s="47"/>
      <c r="E577" s="47"/>
      <c r="F577" s="47"/>
      <c r="G577" s="47"/>
      <c r="H577" s="47"/>
    </row>
    <row r="578">
      <c r="A578" s="47"/>
      <c r="B578" s="47"/>
      <c r="C578" s="47"/>
      <c r="D578" s="47"/>
      <c r="E578" s="47"/>
      <c r="F578" s="47"/>
      <c r="G578" s="47"/>
      <c r="H578" s="47"/>
    </row>
    <row r="579">
      <c r="A579" s="47"/>
      <c r="B579" s="47"/>
      <c r="C579" s="47"/>
      <c r="D579" s="47"/>
      <c r="E579" s="47"/>
      <c r="F579" s="47"/>
      <c r="G579" s="47"/>
      <c r="H579" s="47"/>
    </row>
    <row r="580">
      <c r="A580" s="47"/>
      <c r="B580" s="47"/>
      <c r="C580" s="47"/>
      <c r="D580" s="47"/>
      <c r="E580" s="47"/>
      <c r="F580" s="47"/>
      <c r="G580" s="47"/>
      <c r="H580" s="47"/>
    </row>
    <row r="581">
      <c r="A581" s="47"/>
      <c r="B581" s="47"/>
      <c r="C581" s="47"/>
      <c r="D581" s="47"/>
      <c r="E581" s="47"/>
      <c r="F581" s="47"/>
      <c r="G581" s="47"/>
      <c r="H581" s="47"/>
    </row>
    <row r="582">
      <c r="A582" s="47"/>
      <c r="B582" s="47"/>
      <c r="C582" s="47"/>
      <c r="D582" s="47"/>
      <c r="E582" s="47"/>
      <c r="F582" s="47"/>
      <c r="G582" s="47"/>
      <c r="H582" s="47"/>
    </row>
    <row r="583">
      <c r="A583" s="47"/>
      <c r="B583" s="47"/>
      <c r="C583" s="47"/>
      <c r="D583" s="47"/>
      <c r="E583" s="47"/>
      <c r="F583" s="47"/>
      <c r="G583" s="47"/>
      <c r="H583" s="47"/>
    </row>
    <row r="584">
      <c r="A584" s="47"/>
      <c r="B584" s="47"/>
      <c r="C584" s="47"/>
      <c r="D584" s="47"/>
      <c r="E584" s="47"/>
      <c r="F584" s="47"/>
      <c r="G584" s="47"/>
      <c r="H584" s="47"/>
    </row>
    <row r="585">
      <c r="A585" s="47"/>
      <c r="B585" s="47"/>
      <c r="C585" s="47"/>
      <c r="D585" s="47"/>
      <c r="E585" s="47"/>
      <c r="F585" s="47"/>
      <c r="G585" s="47"/>
      <c r="H585" s="47"/>
    </row>
    <row r="586">
      <c r="A586" s="47"/>
      <c r="B586" s="47"/>
      <c r="C586" s="47"/>
      <c r="D586" s="47"/>
      <c r="E586" s="47"/>
      <c r="F586" s="47"/>
      <c r="G586" s="47"/>
      <c r="H586" s="47"/>
    </row>
    <row r="587">
      <c r="A587" s="47"/>
      <c r="B587" s="47"/>
      <c r="C587" s="47"/>
      <c r="D587" s="47"/>
      <c r="E587" s="47"/>
      <c r="F587" s="47"/>
      <c r="G587" s="47"/>
      <c r="H587" s="47"/>
    </row>
    <row r="588">
      <c r="A588" s="47"/>
      <c r="B588" s="47"/>
      <c r="C588" s="47"/>
      <c r="D588" s="47"/>
      <c r="E588" s="47"/>
      <c r="F588" s="47"/>
      <c r="G588" s="47"/>
      <c r="H588" s="47"/>
    </row>
    <row r="589">
      <c r="A589" s="47"/>
      <c r="B589" s="47"/>
      <c r="C589" s="47"/>
      <c r="D589" s="47"/>
      <c r="E589" s="47"/>
      <c r="F589" s="47"/>
      <c r="G589" s="47"/>
      <c r="H589" s="47"/>
    </row>
    <row r="590">
      <c r="A590" s="47"/>
      <c r="B590" s="47"/>
      <c r="C590" s="47"/>
      <c r="D590" s="47"/>
      <c r="E590" s="47"/>
      <c r="F590" s="47"/>
      <c r="G590" s="47"/>
      <c r="H590" s="47"/>
    </row>
    <row r="591">
      <c r="A591" s="47"/>
      <c r="B591" s="47"/>
      <c r="C591" s="47"/>
      <c r="D591" s="47"/>
      <c r="E591" s="47"/>
      <c r="F591" s="47"/>
      <c r="G591" s="47"/>
      <c r="H591" s="47"/>
    </row>
    <row r="592">
      <c r="A592" s="47"/>
      <c r="B592" s="47"/>
      <c r="C592" s="47"/>
      <c r="D592" s="47"/>
      <c r="E592" s="47"/>
      <c r="F592" s="47"/>
      <c r="G592" s="47"/>
      <c r="H592" s="47"/>
    </row>
    <row r="593">
      <c r="A593" s="47"/>
      <c r="B593" s="47"/>
      <c r="C593" s="47"/>
      <c r="D593" s="47"/>
      <c r="E593" s="47"/>
      <c r="F593" s="47"/>
      <c r="G593" s="47"/>
      <c r="H593" s="47"/>
    </row>
    <row r="594">
      <c r="A594" s="47"/>
      <c r="B594" s="47"/>
      <c r="C594" s="47"/>
      <c r="D594" s="47"/>
      <c r="E594" s="47"/>
      <c r="F594" s="47"/>
      <c r="G594" s="47"/>
      <c r="H594" s="47"/>
    </row>
    <row r="595">
      <c r="A595" s="47"/>
      <c r="B595" s="47"/>
      <c r="C595" s="47"/>
      <c r="D595" s="47"/>
      <c r="E595" s="47"/>
      <c r="F595" s="47"/>
      <c r="G595" s="47"/>
      <c r="H595" s="47"/>
    </row>
    <row r="596">
      <c r="A596" s="47"/>
      <c r="B596" s="47"/>
      <c r="C596" s="47"/>
      <c r="D596" s="47"/>
      <c r="E596" s="47"/>
      <c r="F596" s="47"/>
      <c r="G596" s="47"/>
      <c r="H596" s="47"/>
    </row>
    <row r="597">
      <c r="A597" s="47"/>
      <c r="B597" s="47"/>
      <c r="C597" s="47"/>
      <c r="D597" s="47"/>
      <c r="E597" s="47"/>
      <c r="F597" s="47"/>
      <c r="G597" s="47"/>
      <c r="H597" s="47"/>
    </row>
    <row r="598">
      <c r="A598" s="47"/>
      <c r="B598" s="47"/>
      <c r="C598" s="47"/>
      <c r="D598" s="47"/>
      <c r="E598" s="47"/>
      <c r="F598" s="47"/>
      <c r="G598" s="47"/>
      <c r="H598" s="47"/>
    </row>
    <row r="599">
      <c r="A599" s="47"/>
      <c r="B599" s="47"/>
      <c r="C599" s="47"/>
      <c r="D599" s="47"/>
      <c r="E599" s="47"/>
      <c r="F599" s="47"/>
      <c r="G599" s="47"/>
      <c r="H599" s="47"/>
    </row>
    <row r="600">
      <c r="A600" s="47"/>
      <c r="B600" s="47"/>
      <c r="C600" s="47"/>
      <c r="D600" s="47"/>
      <c r="E600" s="47"/>
      <c r="F600" s="47"/>
      <c r="G600" s="47"/>
      <c r="H600" s="47"/>
    </row>
    <row r="601">
      <c r="A601" s="47"/>
      <c r="B601" s="47"/>
      <c r="C601" s="47"/>
      <c r="D601" s="47"/>
      <c r="E601" s="47"/>
      <c r="F601" s="47"/>
      <c r="G601" s="47"/>
      <c r="H601" s="47"/>
    </row>
    <row r="602">
      <c r="A602" s="47"/>
      <c r="B602" s="47"/>
      <c r="C602" s="47"/>
      <c r="D602" s="47"/>
      <c r="E602" s="47"/>
      <c r="F602" s="47"/>
      <c r="G602" s="47"/>
      <c r="H602" s="47"/>
    </row>
    <row r="603">
      <c r="A603" s="47"/>
      <c r="B603" s="47"/>
      <c r="C603" s="47"/>
      <c r="D603" s="47"/>
      <c r="E603" s="47"/>
      <c r="F603" s="47"/>
      <c r="G603" s="47"/>
      <c r="H603" s="47"/>
    </row>
    <row r="604">
      <c r="A604" s="47"/>
      <c r="B604" s="47"/>
      <c r="C604" s="47"/>
      <c r="D604" s="47"/>
      <c r="E604" s="47"/>
      <c r="F604" s="47"/>
      <c r="G604" s="47"/>
      <c r="H604" s="47"/>
    </row>
    <row r="605">
      <c r="A605" s="47"/>
      <c r="B605" s="47"/>
      <c r="C605" s="47"/>
      <c r="D605" s="47"/>
      <c r="E605" s="47"/>
      <c r="F605" s="47"/>
      <c r="G605" s="47"/>
      <c r="H605" s="47"/>
    </row>
    <row r="606">
      <c r="A606" s="47"/>
      <c r="B606" s="47"/>
      <c r="C606" s="47"/>
      <c r="D606" s="47"/>
      <c r="E606" s="47"/>
      <c r="F606" s="47"/>
      <c r="G606" s="47"/>
      <c r="H606" s="47"/>
    </row>
    <row r="607">
      <c r="A607" s="47"/>
      <c r="B607" s="47"/>
      <c r="C607" s="47"/>
      <c r="D607" s="47"/>
      <c r="E607" s="47"/>
      <c r="F607" s="47"/>
      <c r="G607" s="47"/>
      <c r="H607" s="47"/>
    </row>
    <row r="608">
      <c r="A608" s="47"/>
      <c r="B608" s="47"/>
      <c r="C608" s="47"/>
      <c r="D608" s="47"/>
      <c r="E608" s="47"/>
      <c r="F608" s="47"/>
      <c r="G608" s="47"/>
      <c r="H608" s="47"/>
    </row>
    <row r="609">
      <c r="A609" s="47"/>
      <c r="B609" s="47"/>
      <c r="C609" s="47"/>
      <c r="D609" s="47"/>
      <c r="E609" s="47"/>
      <c r="F609" s="47"/>
      <c r="G609" s="47"/>
      <c r="H609" s="47"/>
    </row>
    <row r="610">
      <c r="A610" s="47"/>
      <c r="B610" s="47"/>
      <c r="C610" s="47"/>
      <c r="D610" s="47"/>
      <c r="E610" s="47"/>
      <c r="F610" s="47"/>
      <c r="G610" s="47"/>
      <c r="H610" s="47"/>
    </row>
    <row r="611">
      <c r="A611" s="47"/>
      <c r="B611" s="47"/>
      <c r="C611" s="47"/>
      <c r="D611" s="47"/>
      <c r="E611" s="47"/>
      <c r="F611" s="47"/>
      <c r="G611" s="47"/>
      <c r="H611" s="47"/>
    </row>
    <row r="612">
      <c r="A612" s="47"/>
      <c r="B612" s="47"/>
      <c r="C612" s="47"/>
      <c r="D612" s="47"/>
      <c r="E612" s="47"/>
      <c r="F612" s="47"/>
      <c r="G612" s="47"/>
      <c r="H612" s="47"/>
    </row>
    <row r="613">
      <c r="A613" s="47"/>
      <c r="B613" s="47"/>
      <c r="C613" s="47"/>
      <c r="D613" s="47"/>
      <c r="E613" s="47"/>
      <c r="F613" s="47"/>
      <c r="G613" s="47"/>
      <c r="H613" s="47"/>
    </row>
    <row r="614">
      <c r="A614" s="47"/>
      <c r="B614" s="47"/>
      <c r="C614" s="47"/>
      <c r="D614" s="47"/>
      <c r="E614" s="47"/>
      <c r="F614" s="47"/>
      <c r="G614" s="47"/>
      <c r="H614" s="47"/>
    </row>
    <row r="615">
      <c r="A615" s="47"/>
      <c r="B615" s="47"/>
      <c r="C615" s="47"/>
      <c r="D615" s="47"/>
      <c r="E615" s="47"/>
      <c r="F615" s="47"/>
      <c r="G615" s="47"/>
      <c r="H615" s="47"/>
    </row>
    <row r="616">
      <c r="A616" s="47"/>
      <c r="B616" s="47"/>
      <c r="C616" s="47"/>
      <c r="D616" s="47"/>
      <c r="E616" s="47"/>
      <c r="F616" s="47"/>
      <c r="G616" s="47"/>
      <c r="H616" s="47"/>
    </row>
    <row r="617">
      <c r="A617" s="47"/>
      <c r="B617" s="47"/>
      <c r="C617" s="47"/>
      <c r="D617" s="47"/>
      <c r="E617" s="47"/>
      <c r="F617" s="47"/>
      <c r="G617" s="47"/>
      <c r="H617" s="47"/>
    </row>
    <row r="618">
      <c r="A618" s="47"/>
      <c r="B618" s="47"/>
      <c r="C618" s="47"/>
      <c r="D618" s="47"/>
      <c r="E618" s="47"/>
      <c r="F618" s="47"/>
      <c r="G618" s="47"/>
      <c r="H618" s="47"/>
    </row>
    <row r="619">
      <c r="A619" s="47"/>
      <c r="B619" s="47"/>
      <c r="C619" s="47"/>
      <c r="D619" s="47"/>
      <c r="E619" s="47"/>
      <c r="F619" s="47"/>
      <c r="G619" s="47"/>
      <c r="H619" s="47"/>
    </row>
    <row r="620">
      <c r="A620" s="47"/>
      <c r="B620" s="47"/>
      <c r="C620" s="47"/>
      <c r="D620" s="47"/>
      <c r="E620" s="47"/>
      <c r="F620" s="47"/>
      <c r="G620" s="47"/>
      <c r="H620" s="47"/>
    </row>
    <row r="621">
      <c r="A621" s="47"/>
      <c r="B621" s="47"/>
      <c r="C621" s="47"/>
      <c r="D621" s="47"/>
      <c r="E621" s="47"/>
      <c r="F621" s="47"/>
      <c r="G621" s="47"/>
      <c r="H621" s="47"/>
    </row>
    <row r="622">
      <c r="A622" s="47"/>
      <c r="B622" s="47"/>
      <c r="C622" s="47"/>
      <c r="D622" s="47"/>
      <c r="E622" s="47"/>
      <c r="F622" s="47"/>
      <c r="G622" s="47"/>
      <c r="H622" s="47"/>
    </row>
    <row r="623">
      <c r="A623" s="47"/>
      <c r="B623" s="47"/>
      <c r="C623" s="47"/>
      <c r="D623" s="47"/>
      <c r="E623" s="47"/>
      <c r="F623" s="47"/>
      <c r="G623" s="47"/>
      <c r="H623" s="47"/>
    </row>
    <row r="624">
      <c r="A624" s="47"/>
      <c r="B624" s="47"/>
      <c r="C624" s="47"/>
      <c r="D624" s="47"/>
      <c r="E624" s="47"/>
      <c r="F624" s="47"/>
      <c r="G624" s="47"/>
      <c r="H624" s="47"/>
    </row>
    <row r="625">
      <c r="A625" s="47"/>
      <c r="B625" s="47"/>
      <c r="C625" s="47"/>
      <c r="D625" s="47"/>
      <c r="E625" s="47"/>
      <c r="F625" s="47"/>
      <c r="G625" s="47"/>
      <c r="H625" s="47"/>
    </row>
    <row r="626">
      <c r="A626" s="47"/>
      <c r="B626" s="47"/>
      <c r="C626" s="47"/>
      <c r="D626" s="47"/>
      <c r="E626" s="47"/>
      <c r="F626" s="47"/>
      <c r="G626" s="47"/>
      <c r="H626" s="47"/>
    </row>
    <row r="627">
      <c r="A627" s="47"/>
      <c r="B627" s="47"/>
      <c r="C627" s="47"/>
      <c r="D627" s="47"/>
      <c r="E627" s="47"/>
      <c r="F627" s="47"/>
      <c r="G627" s="47"/>
      <c r="H627" s="47"/>
    </row>
    <row r="628">
      <c r="A628" s="47"/>
      <c r="B628" s="47"/>
      <c r="C628" s="47"/>
      <c r="D628" s="47"/>
      <c r="E628" s="47"/>
      <c r="F628" s="47"/>
      <c r="G628" s="47"/>
      <c r="H628" s="47"/>
    </row>
    <row r="629">
      <c r="A629" s="47"/>
      <c r="B629" s="47"/>
      <c r="C629" s="47"/>
      <c r="D629" s="47"/>
      <c r="E629" s="47"/>
      <c r="F629" s="47"/>
      <c r="G629" s="47"/>
      <c r="H629" s="47"/>
    </row>
    <row r="630">
      <c r="A630" s="47"/>
      <c r="B630" s="47"/>
      <c r="C630" s="47"/>
      <c r="D630" s="47"/>
      <c r="E630" s="47"/>
      <c r="F630" s="47"/>
      <c r="G630" s="47"/>
      <c r="H630" s="47"/>
    </row>
    <row r="631">
      <c r="A631" s="47"/>
      <c r="B631" s="47"/>
      <c r="C631" s="47"/>
      <c r="D631" s="47"/>
      <c r="E631" s="47"/>
      <c r="F631" s="47"/>
      <c r="G631" s="47"/>
      <c r="H631" s="47"/>
    </row>
    <row r="632">
      <c r="A632" s="47"/>
      <c r="B632" s="47"/>
      <c r="C632" s="47"/>
      <c r="D632" s="47"/>
      <c r="E632" s="47"/>
      <c r="F632" s="47"/>
      <c r="G632" s="47"/>
      <c r="H632" s="47"/>
    </row>
    <row r="633">
      <c r="A633" s="47"/>
      <c r="B633" s="47"/>
      <c r="C633" s="47"/>
      <c r="D633" s="47"/>
      <c r="E633" s="47"/>
      <c r="F633" s="47"/>
      <c r="G633" s="47"/>
      <c r="H633" s="47"/>
    </row>
    <row r="634">
      <c r="A634" s="47"/>
      <c r="B634" s="47"/>
      <c r="C634" s="47"/>
      <c r="D634" s="47"/>
      <c r="E634" s="47"/>
      <c r="F634" s="47"/>
      <c r="G634" s="47"/>
      <c r="H634" s="47"/>
    </row>
    <row r="635">
      <c r="A635" s="47"/>
      <c r="B635" s="47"/>
      <c r="C635" s="47"/>
      <c r="D635" s="47"/>
      <c r="E635" s="47"/>
      <c r="F635" s="47"/>
      <c r="G635" s="47"/>
      <c r="H635" s="47"/>
    </row>
    <row r="636">
      <c r="A636" s="47"/>
      <c r="B636" s="47"/>
      <c r="C636" s="47"/>
      <c r="D636" s="47"/>
      <c r="E636" s="47"/>
      <c r="F636" s="47"/>
      <c r="G636" s="47"/>
      <c r="H636" s="47"/>
    </row>
    <row r="637">
      <c r="A637" s="47"/>
      <c r="B637" s="47"/>
      <c r="C637" s="47"/>
      <c r="D637" s="47"/>
      <c r="E637" s="47"/>
      <c r="F637" s="47"/>
      <c r="G637" s="47"/>
      <c r="H637" s="47"/>
    </row>
    <row r="638">
      <c r="A638" s="47"/>
      <c r="B638" s="47"/>
      <c r="C638" s="47"/>
      <c r="D638" s="47"/>
      <c r="E638" s="47"/>
      <c r="F638" s="47"/>
      <c r="G638" s="47"/>
      <c r="H638" s="47"/>
    </row>
    <row r="639">
      <c r="A639" s="47"/>
      <c r="B639" s="47"/>
      <c r="C639" s="47"/>
      <c r="D639" s="47"/>
      <c r="E639" s="47"/>
      <c r="F639" s="47"/>
      <c r="G639" s="47"/>
      <c r="H639" s="47"/>
    </row>
    <row r="640">
      <c r="A640" s="47"/>
      <c r="B640" s="47"/>
      <c r="C640" s="47"/>
      <c r="D640" s="47"/>
      <c r="E640" s="47"/>
      <c r="F640" s="47"/>
      <c r="G640" s="47"/>
      <c r="H640" s="47"/>
    </row>
    <row r="641">
      <c r="A641" s="47"/>
      <c r="B641" s="47"/>
      <c r="C641" s="47"/>
      <c r="D641" s="47"/>
      <c r="E641" s="47"/>
      <c r="F641" s="47"/>
      <c r="G641" s="47"/>
      <c r="H641" s="47"/>
    </row>
    <row r="642">
      <c r="A642" s="47"/>
      <c r="B642" s="47"/>
      <c r="C642" s="47"/>
      <c r="D642" s="47"/>
      <c r="E642" s="47"/>
      <c r="F642" s="47"/>
      <c r="G642" s="47"/>
      <c r="H642" s="47"/>
    </row>
    <row r="643">
      <c r="A643" s="47"/>
      <c r="B643" s="47"/>
      <c r="C643" s="47"/>
      <c r="D643" s="47"/>
      <c r="E643" s="47"/>
      <c r="F643" s="47"/>
      <c r="G643" s="47"/>
      <c r="H643" s="47"/>
    </row>
    <row r="644">
      <c r="A644" s="47"/>
      <c r="B644" s="47"/>
      <c r="C644" s="47"/>
      <c r="D644" s="47"/>
      <c r="E644" s="47"/>
      <c r="F644" s="47"/>
      <c r="G644" s="47"/>
      <c r="H644" s="47"/>
    </row>
    <row r="645">
      <c r="A645" s="47"/>
      <c r="B645" s="47"/>
      <c r="C645" s="47"/>
      <c r="D645" s="47"/>
      <c r="E645" s="47"/>
      <c r="F645" s="47"/>
      <c r="G645" s="47"/>
      <c r="H645" s="47"/>
    </row>
    <row r="646">
      <c r="A646" s="47"/>
      <c r="B646" s="47"/>
      <c r="C646" s="47"/>
      <c r="D646" s="47"/>
      <c r="E646" s="47"/>
      <c r="F646" s="47"/>
      <c r="G646" s="47"/>
      <c r="H646" s="47"/>
    </row>
    <row r="647">
      <c r="A647" s="47"/>
      <c r="B647" s="47"/>
      <c r="C647" s="47"/>
      <c r="D647" s="47"/>
      <c r="E647" s="47"/>
      <c r="F647" s="47"/>
      <c r="G647" s="47"/>
      <c r="H647" s="47"/>
    </row>
    <row r="648">
      <c r="A648" s="47"/>
      <c r="B648" s="47"/>
      <c r="C648" s="47"/>
      <c r="D648" s="47"/>
      <c r="E648" s="47"/>
      <c r="F648" s="47"/>
      <c r="G648" s="47"/>
      <c r="H648" s="47"/>
    </row>
    <row r="649">
      <c r="A649" s="47"/>
      <c r="B649" s="47"/>
      <c r="C649" s="47"/>
      <c r="D649" s="47"/>
      <c r="E649" s="47"/>
      <c r="F649" s="47"/>
      <c r="G649" s="47"/>
      <c r="H649" s="47"/>
    </row>
    <row r="650">
      <c r="A650" s="47"/>
      <c r="B650" s="47"/>
      <c r="C650" s="47"/>
      <c r="D650" s="47"/>
      <c r="E650" s="47"/>
      <c r="F650" s="47"/>
      <c r="G650" s="47"/>
      <c r="H650" s="47"/>
    </row>
    <row r="651">
      <c r="A651" s="47"/>
      <c r="B651" s="47"/>
      <c r="C651" s="47"/>
      <c r="D651" s="47"/>
      <c r="E651" s="47"/>
      <c r="F651" s="47"/>
      <c r="G651" s="47"/>
      <c r="H651" s="47"/>
    </row>
    <row r="652">
      <c r="A652" s="47"/>
      <c r="B652" s="47"/>
      <c r="C652" s="47"/>
      <c r="D652" s="47"/>
      <c r="E652" s="47"/>
      <c r="F652" s="47"/>
      <c r="G652" s="47"/>
      <c r="H652" s="47"/>
    </row>
    <row r="653">
      <c r="A653" s="47"/>
      <c r="B653" s="47"/>
      <c r="C653" s="47"/>
      <c r="D653" s="47"/>
      <c r="E653" s="47"/>
      <c r="F653" s="47"/>
      <c r="G653" s="47"/>
      <c r="H653" s="47"/>
    </row>
    <row r="654">
      <c r="A654" s="47"/>
      <c r="B654" s="47"/>
      <c r="C654" s="47"/>
      <c r="D654" s="47"/>
      <c r="E654" s="47"/>
      <c r="F654" s="47"/>
      <c r="G654" s="47"/>
      <c r="H654" s="47"/>
    </row>
    <row r="655">
      <c r="A655" s="47"/>
      <c r="B655" s="47"/>
      <c r="C655" s="47"/>
      <c r="D655" s="47"/>
      <c r="E655" s="47"/>
      <c r="F655" s="47"/>
      <c r="G655" s="47"/>
      <c r="H655" s="47"/>
    </row>
    <row r="656">
      <c r="A656" s="47"/>
      <c r="B656" s="47"/>
      <c r="C656" s="47"/>
      <c r="D656" s="47"/>
      <c r="E656" s="47"/>
      <c r="F656" s="47"/>
      <c r="G656" s="47"/>
      <c r="H656" s="47"/>
    </row>
    <row r="657">
      <c r="A657" s="47"/>
      <c r="B657" s="47"/>
      <c r="C657" s="47"/>
      <c r="D657" s="47"/>
      <c r="E657" s="47"/>
      <c r="F657" s="47"/>
      <c r="G657" s="47"/>
      <c r="H657" s="47"/>
    </row>
    <row r="658">
      <c r="A658" s="47"/>
      <c r="B658" s="47"/>
      <c r="C658" s="47"/>
      <c r="D658" s="47"/>
      <c r="E658" s="47"/>
      <c r="F658" s="47"/>
      <c r="G658" s="47"/>
      <c r="H658" s="47"/>
    </row>
    <row r="659">
      <c r="A659" s="47"/>
      <c r="B659" s="47"/>
      <c r="C659" s="47"/>
      <c r="D659" s="47"/>
      <c r="E659" s="47"/>
      <c r="F659" s="47"/>
      <c r="G659" s="47"/>
      <c r="H659" s="47"/>
    </row>
    <row r="660">
      <c r="A660" s="47"/>
      <c r="B660" s="47"/>
      <c r="C660" s="47"/>
      <c r="D660" s="47"/>
      <c r="E660" s="47"/>
      <c r="F660" s="47"/>
      <c r="G660" s="47"/>
      <c r="H660" s="47"/>
    </row>
    <row r="661">
      <c r="A661" s="47"/>
      <c r="B661" s="47"/>
      <c r="C661" s="47"/>
      <c r="D661" s="47"/>
      <c r="E661" s="47"/>
      <c r="F661" s="47"/>
      <c r="G661" s="47"/>
      <c r="H661" s="47"/>
    </row>
    <row r="662">
      <c r="A662" s="47"/>
      <c r="B662" s="47"/>
      <c r="C662" s="47"/>
      <c r="D662" s="47"/>
      <c r="E662" s="47"/>
      <c r="F662" s="47"/>
      <c r="G662" s="47"/>
      <c r="H662" s="47"/>
    </row>
    <row r="663">
      <c r="A663" s="47"/>
      <c r="B663" s="47"/>
      <c r="C663" s="47"/>
      <c r="D663" s="47"/>
      <c r="E663" s="47"/>
      <c r="F663" s="47"/>
      <c r="G663" s="47"/>
      <c r="H663" s="47"/>
    </row>
    <row r="664">
      <c r="A664" s="47"/>
      <c r="B664" s="47"/>
      <c r="C664" s="47"/>
      <c r="D664" s="47"/>
      <c r="E664" s="47"/>
      <c r="F664" s="47"/>
      <c r="G664" s="47"/>
      <c r="H664" s="47"/>
    </row>
    <row r="665">
      <c r="A665" s="47"/>
      <c r="B665" s="47"/>
      <c r="C665" s="47"/>
      <c r="D665" s="47"/>
      <c r="E665" s="47"/>
      <c r="F665" s="47"/>
      <c r="G665" s="47"/>
      <c r="H665" s="47"/>
    </row>
    <row r="666">
      <c r="A666" s="47"/>
      <c r="B666" s="47"/>
      <c r="C666" s="47"/>
      <c r="D666" s="47"/>
      <c r="E666" s="47"/>
      <c r="F666" s="47"/>
      <c r="G666" s="47"/>
      <c r="H666" s="47"/>
    </row>
    <row r="667">
      <c r="A667" s="47"/>
      <c r="B667" s="47"/>
      <c r="C667" s="47"/>
      <c r="D667" s="47"/>
      <c r="E667" s="47"/>
      <c r="F667" s="47"/>
      <c r="G667" s="47"/>
      <c r="H667" s="47"/>
    </row>
    <row r="668">
      <c r="A668" s="47"/>
      <c r="B668" s="47"/>
      <c r="C668" s="47"/>
      <c r="D668" s="47"/>
      <c r="E668" s="47"/>
      <c r="F668" s="47"/>
      <c r="G668" s="47"/>
      <c r="H668" s="47"/>
    </row>
    <row r="669">
      <c r="A669" s="47"/>
      <c r="B669" s="47"/>
      <c r="C669" s="47"/>
      <c r="D669" s="47"/>
      <c r="E669" s="47"/>
      <c r="F669" s="47"/>
      <c r="G669" s="47"/>
      <c r="H669" s="47"/>
    </row>
    <row r="670">
      <c r="A670" s="47"/>
      <c r="B670" s="47"/>
      <c r="C670" s="47"/>
      <c r="D670" s="47"/>
      <c r="E670" s="47"/>
      <c r="F670" s="47"/>
      <c r="G670" s="47"/>
      <c r="H670" s="47"/>
    </row>
    <row r="671">
      <c r="A671" s="47"/>
      <c r="B671" s="47"/>
      <c r="C671" s="47"/>
      <c r="D671" s="47"/>
      <c r="E671" s="47"/>
      <c r="F671" s="47"/>
      <c r="G671" s="47"/>
      <c r="H671" s="47"/>
    </row>
    <row r="672">
      <c r="A672" s="47"/>
      <c r="B672" s="47"/>
      <c r="C672" s="47"/>
      <c r="D672" s="47"/>
      <c r="E672" s="47"/>
      <c r="F672" s="47"/>
      <c r="G672" s="47"/>
      <c r="H672" s="47"/>
    </row>
    <row r="673">
      <c r="A673" s="47"/>
      <c r="B673" s="47"/>
      <c r="C673" s="47"/>
      <c r="D673" s="47"/>
      <c r="E673" s="47"/>
      <c r="F673" s="47"/>
      <c r="G673" s="47"/>
      <c r="H673" s="47"/>
    </row>
    <row r="674">
      <c r="A674" s="47"/>
      <c r="B674" s="47"/>
      <c r="C674" s="47"/>
      <c r="D674" s="47"/>
      <c r="E674" s="47"/>
      <c r="F674" s="47"/>
      <c r="G674" s="47"/>
      <c r="H674" s="47"/>
    </row>
    <row r="675">
      <c r="A675" s="47"/>
      <c r="B675" s="47"/>
      <c r="C675" s="47"/>
      <c r="D675" s="47"/>
      <c r="E675" s="47"/>
      <c r="F675" s="47"/>
      <c r="G675" s="47"/>
      <c r="H675" s="47"/>
    </row>
    <row r="676">
      <c r="A676" s="47"/>
      <c r="B676" s="47"/>
      <c r="C676" s="47"/>
      <c r="D676" s="47"/>
      <c r="E676" s="47"/>
      <c r="F676" s="47"/>
      <c r="G676" s="47"/>
      <c r="H676" s="47"/>
    </row>
    <row r="677">
      <c r="A677" s="47"/>
      <c r="B677" s="47"/>
      <c r="C677" s="47"/>
      <c r="D677" s="47"/>
      <c r="E677" s="47"/>
      <c r="F677" s="47"/>
      <c r="G677" s="47"/>
      <c r="H677" s="47"/>
    </row>
    <row r="678">
      <c r="A678" s="47"/>
      <c r="B678" s="47"/>
      <c r="C678" s="47"/>
      <c r="D678" s="47"/>
      <c r="E678" s="47"/>
      <c r="F678" s="47"/>
      <c r="G678" s="47"/>
      <c r="H678" s="47"/>
    </row>
    <row r="679">
      <c r="A679" s="47"/>
      <c r="B679" s="47"/>
      <c r="C679" s="47"/>
      <c r="D679" s="47"/>
      <c r="E679" s="47"/>
      <c r="F679" s="47"/>
      <c r="G679" s="47"/>
      <c r="H679" s="47"/>
    </row>
    <row r="680">
      <c r="A680" s="47"/>
      <c r="B680" s="47"/>
      <c r="C680" s="47"/>
      <c r="D680" s="47"/>
      <c r="E680" s="47"/>
      <c r="F680" s="47"/>
      <c r="G680" s="47"/>
      <c r="H680" s="47"/>
    </row>
    <row r="681">
      <c r="A681" s="47"/>
      <c r="B681" s="47"/>
      <c r="C681" s="47"/>
      <c r="D681" s="47"/>
      <c r="E681" s="47"/>
      <c r="F681" s="47"/>
      <c r="G681" s="47"/>
      <c r="H681" s="47"/>
    </row>
    <row r="682">
      <c r="A682" s="47"/>
      <c r="B682" s="47"/>
      <c r="C682" s="47"/>
      <c r="D682" s="47"/>
      <c r="E682" s="47"/>
      <c r="F682" s="47"/>
      <c r="G682" s="47"/>
      <c r="H682" s="47"/>
    </row>
    <row r="683">
      <c r="A683" s="47"/>
      <c r="B683" s="47"/>
      <c r="C683" s="47"/>
      <c r="D683" s="47"/>
      <c r="E683" s="47"/>
      <c r="F683" s="47"/>
      <c r="G683" s="47"/>
      <c r="H683" s="47"/>
    </row>
    <row r="684">
      <c r="A684" s="47"/>
      <c r="B684" s="47"/>
      <c r="C684" s="47"/>
      <c r="D684" s="47"/>
      <c r="E684" s="47"/>
      <c r="F684" s="47"/>
      <c r="G684" s="47"/>
      <c r="H684" s="47"/>
    </row>
    <row r="685">
      <c r="A685" s="47"/>
      <c r="B685" s="47"/>
      <c r="C685" s="47"/>
      <c r="D685" s="47"/>
      <c r="E685" s="47"/>
      <c r="F685" s="47"/>
      <c r="G685" s="47"/>
      <c r="H685" s="47"/>
    </row>
    <row r="686">
      <c r="A686" s="47"/>
      <c r="B686" s="47"/>
      <c r="C686" s="47"/>
      <c r="D686" s="47"/>
      <c r="E686" s="47"/>
      <c r="F686" s="47"/>
      <c r="G686" s="47"/>
      <c r="H686" s="47"/>
    </row>
    <row r="687">
      <c r="A687" s="47"/>
      <c r="B687" s="47"/>
      <c r="C687" s="47"/>
      <c r="D687" s="47"/>
      <c r="E687" s="47"/>
      <c r="F687" s="47"/>
      <c r="G687" s="47"/>
      <c r="H687" s="47"/>
    </row>
    <row r="688">
      <c r="A688" s="47"/>
      <c r="B688" s="47"/>
      <c r="C688" s="47"/>
      <c r="D688" s="47"/>
      <c r="E688" s="47"/>
      <c r="F688" s="47"/>
      <c r="G688" s="47"/>
      <c r="H688" s="47"/>
    </row>
    <row r="689">
      <c r="A689" s="47"/>
      <c r="B689" s="47"/>
      <c r="C689" s="47"/>
      <c r="D689" s="47"/>
      <c r="E689" s="47"/>
      <c r="F689" s="47"/>
      <c r="G689" s="47"/>
      <c r="H689" s="47"/>
    </row>
    <row r="690">
      <c r="A690" s="47"/>
      <c r="B690" s="47"/>
      <c r="C690" s="47"/>
      <c r="D690" s="47"/>
      <c r="E690" s="47"/>
      <c r="F690" s="47"/>
      <c r="G690" s="47"/>
      <c r="H690" s="47"/>
    </row>
    <row r="691">
      <c r="A691" s="47"/>
      <c r="B691" s="47"/>
      <c r="C691" s="47"/>
      <c r="D691" s="47"/>
      <c r="E691" s="47"/>
      <c r="F691" s="47"/>
      <c r="G691" s="47"/>
      <c r="H691" s="47"/>
    </row>
    <row r="692">
      <c r="A692" s="47"/>
      <c r="B692" s="47"/>
      <c r="C692" s="47"/>
      <c r="D692" s="47"/>
      <c r="E692" s="47"/>
      <c r="F692" s="47"/>
      <c r="G692" s="47"/>
      <c r="H692" s="47"/>
    </row>
    <row r="693">
      <c r="A693" s="47"/>
      <c r="B693" s="47"/>
      <c r="C693" s="47"/>
      <c r="D693" s="47"/>
      <c r="E693" s="47"/>
      <c r="F693" s="47"/>
      <c r="G693" s="47"/>
      <c r="H693" s="47"/>
    </row>
    <row r="694">
      <c r="A694" s="47"/>
      <c r="B694" s="47"/>
      <c r="C694" s="47"/>
      <c r="D694" s="47"/>
      <c r="E694" s="47"/>
      <c r="F694" s="47"/>
      <c r="G694" s="47"/>
      <c r="H694" s="47"/>
    </row>
    <row r="695">
      <c r="A695" s="47"/>
      <c r="B695" s="47"/>
      <c r="C695" s="47"/>
      <c r="D695" s="47"/>
      <c r="E695" s="47"/>
      <c r="F695" s="47"/>
      <c r="G695" s="47"/>
      <c r="H695" s="47"/>
    </row>
    <row r="696">
      <c r="A696" s="47"/>
      <c r="B696" s="47"/>
      <c r="C696" s="47"/>
      <c r="D696" s="47"/>
      <c r="E696" s="47"/>
      <c r="F696" s="47"/>
      <c r="G696" s="47"/>
      <c r="H696" s="47"/>
    </row>
    <row r="697">
      <c r="A697" s="47"/>
      <c r="B697" s="47"/>
      <c r="C697" s="47"/>
      <c r="D697" s="47"/>
      <c r="E697" s="47"/>
      <c r="F697" s="47"/>
      <c r="G697" s="47"/>
      <c r="H697" s="47"/>
    </row>
    <row r="698">
      <c r="A698" s="47"/>
      <c r="B698" s="47"/>
      <c r="C698" s="47"/>
      <c r="D698" s="47"/>
      <c r="E698" s="47"/>
      <c r="F698" s="47"/>
      <c r="G698" s="47"/>
      <c r="H698" s="47"/>
    </row>
    <row r="699">
      <c r="A699" s="47"/>
      <c r="B699" s="47"/>
      <c r="C699" s="47"/>
      <c r="D699" s="47"/>
      <c r="E699" s="47"/>
      <c r="F699" s="47"/>
      <c r="G699" s="47"/>
      <c r="H699" s="47"/>
    </row>
    <row r="700">
      <c r="A700" s="47"/>
      <c r="B700" s="47"/>
      <c r="C700" s="47"/>
      <c r="D700" s="47"/>
      <c r="E700" s="47"/>
      <c r="F700" s="47"/>
      <c r="G700" s="47"/>
      <c r="H700" s="47"/>
    </row>
    <row r="701">
      <c r="A701" s="47"/>
      <c r="B701" s="47"/>
      <c r="C701" s="47"/>
      <c r="D701" s="47"/>
      <c r="E701" s="47"/>
      <c r="F701" s="47"/>
      <c r="G701" s="47"/>
      <c r="H701" s="47"/>
    </row>
    <row r="702">
      <c r="A702" s="47"/>
      <c r="B702" s="47"/>
      <c r="C702" s="47"/>
      <c r="D702" s="47"/>
      <c r="E702" s="47"/>
      <c r="F702" s="47"/>
      <c r="G702" s="47"/>
      <c r="H702" s="47"/>
    </row>
    <row r="703">
      <c r="A703" s="47"/>
      <c r="B703" s="47"/>
      <c r="C703" s="47"/>
      <c r="D703" s="47"/>
      <c r="E703" s="47"/>
      <c r="F703" s="47"/>
      <c r="G703" s="47"/>
      <c r="H703" s="47"/>
    </row>
    <row r="704">
      <c r="A704" s="47"/>
      <c r="B704" s="47"/>
      <c r="C704" s="47"/>
      <c r="D704" s="47"/>
      <c r="E704" s="47"/>
      <c r="F704" s="47"/>
      <c r="G704" s="47"/>
      <c r="H704" s="47"/>
    </row>
    <row r="705">
      <c r="A705" s="47"/>
      <c r="B705" s="47"/>
      <c r="C705" s="47"/>
      <c r="D705" s="47"/>
      <c r="E705" s="47"/>
      <c r="F705" s="47"/>
      <c r="G705" s="47"/>
      <c r="H705" s="47"/>
    </row>
    <row r="706">
      <c r="A706" s="47"/>
      <c r="B706" s="47"/>
      <c r="C706" s="47"/>
      <c r="D706" s="47"/>
      <c r="E706" s="47"/>
      <c r="F706" s="47"/>
      <c r="G706" s="47"/>
      <c r="H706" s="47"/>
    </row>
    <row r="707">
      <c r="A707" s="47"/>
      <c r="B707" s="47"/>
      <c r="C707" s="47"/>
      <c r="D707" s="47"/>
      <c r="E707" s="47"/>
      <c r="F707" s="47"/>
      <c r="G707" s="47"/>
      <c r="H707" s="47"/>
    </row>
    <row r="708">
      <c r="A708" s="47"/>
      <c r="B708" s="47"/>
      <c r="C708" s="47"/>
      <c r="D708" s="47"/>
      <c r="E708" s="47"/>
      <c r="F708" s="47"/>
      <c r="G708" s="47"/>
      <c r="H708" s="47"/>
    </row>
    <row r="709">
      <c r="A709" s="47"/>
      <c r="B709" s="47"/>
      <c r="C709" s="47"/>
      <c r="D709" s="47"/>
      <c r="E709" s="47"/>
      <c r="F709" s="47"/>
      <c r="G709" s="47"/>
      <c r="H709" s="47"/>
    </row>
    <row r="710">
      <c r="A710" s="47"/>
      <c r="B710" s="47"/>
      <c r="C710" s="47"/>
      <c r="D710" s="47"/>
      <c r="E710" s="47"/>
      <c r="F710" s="47"/>
      <c r="G710" s="47"/>
      <c r="H710" s="47"/>
    </row>
    <row r="711">
      <c r="A711" s="47"/>
      <c r="B711" s="47"/>
      <c r="C711" s="47"/>
      <c r="D711" s="47"/>
      <c r="E711" s="47"/>
      <c r="F711" s="47"/>
      <c r="G711" s="47"/>
      <c r="H711" s="47"/>
    </row>
    <row r="712">
      <c r="A712" s="47"/>
      <c r="B712" s="47"/>
      <c r="C712" s="47"/>
      <c r="D712" s="47"/>
      <c r="E712" s="47"/>
      <c r="F712" s="47"/>
      <c r="G712" s="47"/>
      <c r="H712" s="47"/>
    </row>
    <row r="713">
      <c r="A713" s="47"/>
      <c r="B713" s="47"/>
      <c r="C713" s="47"/>
      <c r="D713" s="47"/>
      <c r="E713" s="47"/>
      <c r="F713" s="47"/>
      <c r="G713" s="47"/>
      <c r="H713" s="47"/>
    </row>
    <row r="714">
      <c r="A714" s="47"/>
      <c r="B714" s="47"/>
      <c r="C714" s="47"/>
      <c r="D714" s="47"/>
      <c r="E714" s="47"/>
      <c r="F714" s="47"/>
      <c r="G714" s="47"/>
      <c r="H714" s="47"/>
    </row>
    <row r="715">
      <c r="A715" s="47"/>
      <c r="B715" s="47"/>
      <c r="C715" s="47"/>
      <c r="D715" s="47"/>
      <c r="E715" s="47"/>
      <c r="F715" s="47"/>
      <c r="G715" s="47"/>
      <c r="H715" s="47"/>
    </row>
    <row r="716">
      <c r="A716" s="47"/>
      <c r="B716" s="47"/>
      <c r="C716" s="47"/>
      <c r="D716" s="47"/>
      <c r="E716" s="47"/>
      <c r="F716" s="47"/>
      <c r="G716" s="47"/>
      <c r="H716" s="47"/>
    </row>
    <row r="717">
      <c r="A717" s="47"/>
      <c r="B717" s="47"/>
      <c r="C717" s="47"/>
      <c r="D717" s="47"/>
      <c r="E717" s="47"/>
      <c r="F717" s="47"/>
      <c r="G717" s="47"/>
      <c r="H717" s="47"/>
    </row>
    <row r="718">
      <c r="A718" s="47"/>
      <c r="B718" s="47"/>
      <c r="C718" s="47"/>
      <c r="D718" s="47"/>
      <c r="E718" s="47"/>
      <c r="F718" s="47"/>
      <c r="G718" s="47"/>
      <c r="H718" s="47"/>
    </row>
    <row r="719">
      <c r="A719" s="47"/>
      <c r="B719" s="47"/>
      <c r="C719" s="47"/>
      <c r="D719" s="47"/>
      <c r="E719" s="47"/>
      <c r="F719" s="47"/>
      <c r="G719" s="47"/>
      <c r="H719" s="47"/>
    </row>
    <row r="720">
      <c r="A720" s="47"/>
      <c r="B720" s="47"/>
      <c r="C720" s="47"/>
      <c r="D720" s="47"/>
      <c r="E720" s="47"/>
      <c r="F720" s="47"/>
      <c r="G720" s="47"/>
      <c r="H720" s="47"/>
    </row>
    <row r="721">
      <c r="A721" s="47"/>
      <c r="B721" s="47"/>
      <c r="C721" s="47"/>
      <c r="D721" s="47"/>
      <c r="E721" s="47"/>
      <c r="F721" s="47"/>
      <c r="G721" s="47"/>
      <c r="H721" s="47"/>
    </row>
    <row r="722">
      <c r="A722" s="47"/>
      <c r="B722" s="47"/>
      <c r="C722" s="47"/>
      <c r="D722" s="47"/>
      <c r="E722" s="47"/>
      <c r="F722" s="47"/>
      <c r="G722" s="47"/>
      <c r="H722" s="47"/>
    </row>
    <row r="723">
      <c r="A723" s="47"/>
      <c r="B723" s="47"/>
      <c r="C723" s="47"/>
      <c r="D723" s="47"/>
      <c r="E723" s="47"/>
      <c r="F723" s="47"/>
      <c r="G723" s="47"/>
      <c r="H723" s="47"/>
    </row>
    <row r="724">
      <c r="A724" s="47"/>
      <c r="B724" s="47"/>
      <c r="C724" s="47"/>
      <c r="D724" s="47"/>
      <c r="E724" s="47"/>
      <c r="F724" s="47"/>
      <c r="G724" s="47"/>
      <c r="H724" s="47"/>
    </row>
    <row r="725">
      <c r="A725" s="47"/>
      <c r="B725" s="47"/>
      <c r="C725" s="47"/>
      <c r="D725" s="47"/>
      <c r="E725" s="47"/>
      <c r="F725" s="47"/>
      <c r="G725" s="47"/>
      <c r="H725" s="47"/>
    </row>
    <row r="726">
      <c r="A726" s="47"/>
      <c r="B726" s="47"/>
      <c r="C726" s="47"/>
      <c r="D726" s="47"/>
      <c r="E726" s="47"/>
      <c r="F726" s="47"/>
      <c r="G726" s="47"/>
      <c r="H726" s="47"/>
    </row>
    <row r="727">
      <c r="A727" s="47"/>
      <c r="B727" s="47"/>
      <c r="C727" s="47"/>
      <c r="D727" s="47"/>
      <c r="E727" s="47"/>
      <c r="F727" s="47"/>
      <c r="G727" s="47"/>
      <c r="H727" s="47"/>
    </row>
    <row r="728">
      <c r="A728" s="47"/>
      <c r="B728" s="47"/>
      <c r="C728" s="47"/>
      <c r="D728" s="47"/>
      <c r="E728" s="47"/>
      <c r="F728" s="47"/>
      <c r="G728" s="47"/>
      <c r="H728" s="47"/>
    </row>
    <row r="729">
      <c r="A729" s="47"/>
      <c r="B729" s="47"/>
      <c r="C729" s="47"/>
      <c r="D729" s="47"/>
      <c r="E729" s="47"/>
      <c r="F729" s="47"/>
      <c r="G729" s="47"/>
      <c r="H729" s="47"/>
    </row>
    <row r="730">
      <c r="A730" s="47"/>
      <c r="B730" s="47"/>
      <c r="C730" s="47"/>
      <c r="D730" s="47"/>
      <c r="E730" s="47"/>
      <c r="F730" s="47"/>
      <c r="G730" s="47"/>
      <c r="H730" s="47"/>
    </row>
    <row r="731">
      <c r="A731" s="47"/>
      <c r="B731" s="47"/>
      <c r="C731" s="47"/>
      <c r="D731" s="47"/>
      <c r="E731" s="47"/>
      <c r="F731" s="47"/>
      <c r="G731" s="47"/>
      <c r="H731" s="47"/>
    </row>
    <row r="732">
      <c r="A732" s="47"/>
      <c r="B732" s="47"/>
      <c r="C732" s="47"/>
      <c r="D732" s="47"/>
      <c r="E732" s="47"/>
      <c r="F732" s="47"/>
      <c r="G732" s="47"/>
      <c r="H732" s="47"/>
    </row>
    <row r="733">
      <c r="A733" s="47"/>
      <c r="B733" s="47"/>
      <c r="C733" s="47"/>
      <c r="D733" s="47"/>
      <c r="E733" s="47"/>
      <c r="F733" s="47"/>
      <c r="G733" s="47"/>
      <c r="H733" s="47"/>
    </row>
    <row r="734">
      <c r="A734" s="47"/>
      <c r="B734" s="47"/>
      <c r="C734" s="47"/>
      <c r="D734" s="47"/>
      <c r="E734" s="47"/>
      <c r="F734" s="47"/>
      <c r="G734" s="47"/>
      <c r="H734" s="47"/>
    </row>
    <row r="735">
      <c r="A735" s="47"/>
      <c r="B735" s="47"/>
      <c r="C735" s="47"/>
      <c r="D735" s="47"/>
      <c r="E735" s="47"/>
      <c r="F735" s="47"/>
      <c r="G735" s="47"/>
      <c r="H735" s="47"/>
    </row>
    <row r="736">
      <c r="A736" s="47"/>
      <c r="B736" s="47"/>
      <c r="C736" s="47"/>
      <c r="D736" s="47"/>
      <c r="E736" s="47"/>
      <c r="F736" s="47"/>
      <c r="G736" s="47"/>
      <c r="H736" s="47"/>
    </row>
    <row r="737">
      <c r="A737" s="47"/>
      <c r="B737" s="47"/>
      <c r="C737" s="47"/>
      <c r="D737" s="47"/>
      <c r="E737" s="47"/>
      <c r="F737" s="47"/>
      <c r="G737" s="47"/>
      <c r="H737" s="47"/>
    </row>
    <row r="738">
      <c r="A738" s="47"/>
      <c r="B738" s="47"/>
      <c r="C738" s="47"/>
      <c r="D738" s="47"/>
      <c r="E738" s="47"/>
      <c r="F738" s="47"/>
      <c r="G738" s="47"/>
      <c r="H738" s="47"/>
    </row>
    <row r="739">
      <c r="A739" s="47"/>
      <c r="B739" s="47"/>
      <c r="C739" s="47"/>
      <c r="D739" s="47"/>
      <c r="E739" s="47"/>
      <c r="F739" s="47"/>
      <c r="G739" s="47"/>
      <c r="H739" s="47"/>
    </row>
    <row r="740">
      <c r="A740" s="47"/>
      <c r="B740" s="47"/>
      <c r="C740" s="47"/>
      <c r="D740" s="47"/>
      <c r="E740" s="47"/>
      <c r="F740" s="47"/>
      <c r="G740" s="47"/>
      <c r="H740" s="47"/>
    </row>
    <row r="741">
      <c r="A741" s="47"/>
      <c r="B741" s="47"/>
      <c r="C741" s="47"/>
      <c r="D741" s="47"/>
      <c r="E741" s="47"/>
      <c r="F741" s="47"/>
      <c r="G741" s="47"/>
      <c r="H741" s="47"/>
    </row>
    <row r="742">
      <c r="A742" s="47"/>
      <c r="B742" s="47"/>
      <c r="C742" s="47"/>
      <c r="D742" s="47"/>
      <c r="E742" s="47"/>
      <c r="F742" s="47"/>
      <c r="G742" s="47"/>
      <c r="H742" s="47"/>
    </row>
    <row r="743">
      <c r="A743" s="47"/>
      <c r="B743" s="47"/>
      <c r="C743" s="47"/>
      <c r="D743" s="47"/>
      <c r="E743" s="47"/>
      <c r="F743" s="47"/>
      <c r="G743" s="47"/>
      <c r="H743" s="47"/>
    </row>
    <row r="744">
      <c r="A744" s="47"/>
      <c r="B744" s="47"/>
      <c r="C744" s="47"/>
      <c r="D744" s="47"/>
      <c r="E744" s="47"/>
      <c r="F744" s="47"/>
      <c r="G744" s="47"/>
      <c r="H744" s="47"/>
    </row>
    <row r="745">
      <c r="A745" s="47"/>
      <c r="B745" s="47"/>
      <c r="C745" s="47"/>
      <c r="D745" s="47"/>
      <c r="E745" s="47"/>
      <c r="F745" s="47"/>
      <c r="G745" s="47"/>
      <c r="H745" s="47"/>
    </row>
    <row r="746">
      <c r="A746" s="47"/>
      <c r="B746" s="47"/>
      <c r="C746" s="47"/>
      <c r="D746" s="47"/>
      <c r="E746" s="47"/>
      <c r="F746" s="47"/>
      <c r="G746" s="47"/>
      <c r="H746" s="47"/>
    </row>
    <row r="747">
      <c r="A747" s="47"/>
      <c r="B747" s="47"/>
      <c r="C747" s="47"/>
      <c r="D747" s="47"/>
      <c r="E747" s="47"/>
      <c r="F747" s="47"/>
      <c r="G747" s="47"/>
      <c r="H747" s="47"/>
    </row>
    <row r="748">
      <c r="A748" s="47"/>
      <c r="B748" s="47"/>
      <c r="C748" s="47"/>
      <c r="D748" s="47"/>
      <c r="E748" s="47"/>
      <c r="F748" s="47"/>
      <c r="G748" s="47"/>
      <c r="H748" s="47"/>
    </row>
    <row r="749">
      <c r="A749" s="47"/>
      <c r="B749" s="47"/>
      <c r="C749" s="47"/>
      <c r="D749" s="47"/>
      <c r="E749" s="47"/>
      <c r="F749" s="47"/>
      <c r="G749" s="47"/>
      <c r="H749" s="47"/>
    </row>
    <row r="750">
      <c r="A750" s="47"/>
      <c r="B750" s="47"/>
      <c r="C750" s="47"/>
      <c r="D750" s="47"/>
      <c r="E750" s="47"/>
      <c r="F750" s="47"/>
      <c r="G750" s="47"/>
      <c r="H750" s="47"/>
    </row>
    <row r="751">
      <c r="A751" s="47"/>
      <c r="B751" s="47"/>
      <c r="C751" s="47"/>
      <c r="D751" s="47"/>
      <c r="E751" s="47"/>
      <c r="F751" s="47"/>
      <c r="G751" s="47"/>
      <c r="H751" s="47"/>
    </row>
    <row r="752">
      <c r="A752" s="47"/>
      <c r="B752" s="47"/>
      <c r="C752" s="47"/>
      <c r="D752" s="47"/>
      <c r="E752" s="47"/>
      <c r="F752" s="47"/>
      <c r="G752" s="47"/>
      <c r="H752" s="47"/>
    </row>
    <row r="753">
      <c r="A753" s="47"/>
      <c r="B753" s="47"/>
      <c r="C753" s="47"/>
      <c r="D753" s="47"/>
      <c r="E753" s="47"/>
      <c r="F753" s="47"/>
      <c r="G753" s="47"/>
      <c r="H753" s="47"/>
    </row>
    <row r="754">
      <c r="A754" s="47"/>
      <c r="B754" s="47"/>
      <c r="C754" s="47"/>
      <c r="D754" s="47"/>
      <c r="E754" s="47"/>
      <c r="F754" s="47"/>
      <c r="G754" s="47"/>
      <c r="H754" s="47"/>
    </row>
    <row r="755">
      <c r="A755" s="47"/>
      <c r="B755" s="47"/>
      <c r="C755" s="47"/>
      <c r="D755" s="47"/>
      <c r="E755" s="47"/>
      <c r="F755" s="47"/>
      <c r="G755" s="47"/>
      <c r="H755" s="47"/>
    </row>
    <row r="756">
      <c r="A756" s="47"/>
      <c r="B756" s="47"/>
      <c r="C756" s="47"/>
      <c r="D756" s="47"/>
      <c r="E756" s="47"/>
      <c r="F756" s="47"/>
      <c r="G756" s="47"/>
      <c r="H756" s="47"/>
    </row>
    <row r="757">
      <c r="A757" s="47"/>
      <c r="B757" s="47"/>
      <c r="C757" s="47"/>
      <c r="D757" s="47"/>
      <c r="E757" s="47"/>
      <c r="F757" s="47"/>
      <c r="G757" s="47"/>
      <c r="H757" s="47"/>
    </row>
    <row r="758">
      <c r="A758" s="47"/>
      <c r="B758" s="47"/>
      <c r="C758" s="47"/>
      <c r="D758" s="47"/>
      <c r="E758" s="47"/>
      <c r="F758" s="47"/>
      <c r="G758" s="47"/>
      <c r="H758" s="47"/>
    </row>
    <row r="759">
      <c r="A759" s="47"/>
      <c r="B759" s="47"/>
      <c r="C759" s="47"/>
      <c r="D759" s="47"/>
      <c r="E759" s="47"/>
      <c r="F759" s="47"/>
      <c r="G759" s="47"/>
      <c r="H759" s="47"/>
    </row>
    <row r="760">
      <c r="A760" s="47"/>
      <c r="B760" s="47"/>
      <c r="C760" s="47"/>
      <c r="D760" s="47"/>
      <c r="E760" s="47"/>
      <c r="F760" s="47"/>
      <c r="G760" s="47"/>
      <c r="H760" s="47"/>
    </row>
    <row r="761">
      <c r="A761" s="47"/>
      <c r="B761" s="47"/>
      <c r="C761" s="47"/>
      <c r="D761" s="47"/>
      <c r="E761" s="47"/>
      <c r="F761" s="47"/>
      <c r="G761" s="47"/>
      <c r="H761" s="47"/>
    </row>
    <row r="762">
      <c r="A762" s="47"/>
      <c r="B762" s="47"/>
      <c r="C762" s="47"/>
      <c r="D762" s="47"/>
      <c r="E762" s="47"/>
      <c r="F762" s="47"/>
      <c r="G762" s="47"/>
      <c r="H762" s="47"/>
    </row>
    <row r="763">
      <c r="A763" s="47"/>
      <c r="B763" s="47"/>
      <c r="C763" s="47"/>
      <c r="D763" s="47"/>
      <c r="E763" s="47"/>
      <c r="F763" s="47"/>
      <c r="G763" s="47"/>
      <c r="H763" s="47"/>
    </row>
    <row r="764">
      <c r="A764" s="47"/>
      <c r="B764" s="47"/>
      <c r="C764" s="47"/>
      <c r="D764" s="47"/>
      <c r="E764" s="47"/>
      <c r="F764" s="47"/>
      <c r="G764" s="47"/>
      <c r="H764" s="47"/>
    </row>
    <row r="765">
      <c r="A765" s="47"/>
      <c r="B765" s="47"/>
      <c r="C765" s="47"/>
      <c r="D765" s="47"/>
      <c r="E765" s="47"/>
      <c r="F765" s="47"/>
      <c r="G765" s="47"/>
      <c r="H765" s="47"/>
    </row>
    <row r="766">
      <c r="A766" s="47"/>
      <c r="B766" s="47"/>
      <c r="C766" s="47"/>
      <c r="D766" s="47"/>
      <c r="E766" s="47"/>
      <c r="F766" s="47"/>
      <c r="G766" s="47"/>
      <c r="H766" s="47"/>
    </row>
    <row r="767">
      <c r="A767" s="47"/>
      <c r="B767" s="47"/>
      <c r="C767" s="47"/>
      <c r="D767" s="47"/>
      <c r="E767" s="47"/>
      <c r="F767" s="47"/>
      <c r="G767" s="47"/>
      <c r="H767" s="47"/>
    </row>
    <row r="768">
      <c r="A768" s="47"/>
      <c r="B768" s="47"/>
      <c r="C768" s="47"/>
      <c r="D768" s="47"/>
      <c r="E768" s="47"/>
      <c r="F768" s="47"/>
      <c r="G768" s="47"/>
      <c r="H768" s="47"/>
    </row>
    <row r="769">
      <c r="A769" s="47"/>
      <c r="B769" s="47"/>
      <c r="C769" s="47"/>
      <c r="D769" s="47"/>
      <c r="E769" s="47"/>
      <c r="F769" s="47"/>
      <c r="G769" s="47"/>
      <c r="H769" s="47"/>
    </row>
    <row r="770">
      <c r="A770" s="47"/>
      <c r="B770" s="47"/>
      <c r="C770" s="47"/>
      <c r="D770" s="47"/>
      <c r="E770" s="47"/>
      <c r="F770" s="47"/>
      <c r="G770" s="47"/>
      <c r="H770" s="47"/>
    </row>
    <row r="771">
      <c r="A771" s="47"/>
      <c r="B771" s="47"/>
      <c r="C771" s="47"/>
      <c r="D771" s="47"/>
      <c r="E771" s="47"/>
      <c r="F771" s="47"/>
      <c r="G771" s="47"/>
      <c r="H771" s="47"/>
    </row>
    <row r="772">
      <c r="A772" s="47"/>
      <c r="B772" s="47"/>
      <c r="C772" s="47"/>
      <c r="D772" s="47"/>
      <c r="E772" s="47"/>
      <c r="F772" s="47"/>
      <c r="G772" s="47"/>
      <c r="H772" s="47"/>
    </row>
    <row r="773">
      <c r="A773" s="47"/>
      <c r="B773" s="47"/>
      <c r="C773" s="47"/>
      <c r="D773" s="47"/>
      <c r="E773" s="47"/>
      <c r="F773" s="47"/>
      <c r="G773" s="47"/>
      <c r="H773" s="47"/>
    </row>
    <row r="774">
      <c r="A774" s="47"/>
      <c r="B774" s="47"/>
      <c r="C774" s="47"/>
      <c r="D774" s="47"/>
      <c r="E774" s="47"/>
      <c r="F774" s="47"/>
      <c r="G774" s="47"/>
      <c r="H774" s="47"/>
    </row>
    <row r="775">
      <c r="A775" s="47"/>
      <c r="B775" s="47"/>
      <c r="C775" s="47"/>
      <c r="D775" s="47"/>
      <c r="E775" s="47"/>
      <c r="F775" s="47"/>
      <c r="G775" s="47"/>
      <c r="H775" s="47"/>
    </row>
    <row r="776">
      <c r="A776" s="47"/>
      <c r="B776" s="47"/>
      <c r="C776" s="47"/>
      <c r="D776" s="47"/>
      <c r="E776" s="47"/>
      <c r="F776" s="47"/>
      <c r="G776" s="47"/>
      <c r="H776" s="47"/>
    </row>
    <row r="777">
      <c r="A777" s="47"/>
      <c r="B777" s="47"/>
      <c r="C777" s="47"/>
      <c r="D777" s="47"/>
      <c r="E777" s="47"/>
      <c r="F777" s="47"/>
      <c r="G777" s="47"/>
      <c r="H777" s="47"/>
    </row>
    <row r="778">
      <c r="A778" s="47"/>
      <c r="B778" s="47"/>
      <c r="C778" s="47"/>
      <c r="D778" s="47"/>
      <c r="E778" s="47"/>
      <c r="F778" s="47"/>
      <c r="G778" s="47"/>
      <c r="H778" s="47"/>
    </row>
    <row r="779">
      <c r="A779" s="47"/>
      <c r="B779" s="47"/>
      <c r="C779" s="47"/>
      <c r="D779" s="47"/>
      <c r="E779" s="47"/>
      <c r="F779" s="47"/>
      <c r="G779" s="47"/>
      <c r="H779" s="47"/>
    </row>
    <row r="780">
      <c r="A780" s="47"/>
      <c r="B780" s="47"/>
      <c r="C780" s="47"/>
      <c r="D780" s="47"/>
      <c r="E780" s="47"/>
      <c r="F780" s="47"/>
      <c r="G780" s="47"/>
      <c r="H780" s="47"/>
    </row>
    <row r="781">
      <c r="A781" s="47"/>
      <c r="B781" s="47"/>
      <c r="C781" s="47"/>
      <c r="D781" s="47"/>
      <c r="E781" s="47"/>
      <c r="F781" s="47"/>
      <c r="G781" s="47"/>
      <c r="H781" s="47"/>
    </row>
    <row r="782">
      <c r="A782" s="47"/>
      <c r="B782" s="47"/>
      <c r="C782" s="47"/>
      <c r="D782" s="47"/>
      <c r="E782" s="47"/>
      <c r="F782" s="47"/>
      <c r="G782" s="47"/>
      <c r="H782" s="47"/>
    </row>
    <row r="783">
      <c r="A783" s="47"/>
      <c r="B783" s="47"/>
      <c r="C783" s="47"/>
      <c r="D783" s="47"/>
      <c r="E783" s="47"/>
      <c r="F783" s="47"/>
      <c r="G783" s="47"/>
      <c r="H783" s="47"/>
    </row>
    <row r="784">
      <c r="A784" s="47"/>
      <c r="B784" s="47"/>
      <c r="C784" s="47"/>
      <c r="D784" s="47"/>
      <c r="E784" s="47"/>
      <c r="F784" s="47"/>
      <c r="G784" s="47"/>
      <c r="H784" s="47"/>
    </row>
    <row r="785">
      <c r="A785" s="47"/>
      <c r="B785" s="47"/>
      <c r="C785" s="47"/>
      <c r="D785" s="47"/>
      <c r="E785" s="47"/>
      <c r="F785" s="47"/>
      <c r="G785" s="47"/>
      <c r="H785" s="47"/>
    </row>
    <row r="786">
      <c r="A786" s="47"/>
      <c r="B786" s="47"/>
      <c r="C786" s="47"/>
      <c r="D786" s="47"/>
      <c r="E786" s="47"/>
      <c r="F786" s="47"/>
      <c r="G786" s="47"/>
      <c r="H786" s="47"/>
    </row>
    <row r="787">
      <c r="A787" s="47"/>
      <c r="B787" s="47"/>
      <c r="C787" s="47"/>
      <c r="D787" s="47"/>
      <c r="E787" s="47"/>
      <c r="F787" s="47"/>
      <c r="G787" s="47"/>
      <c r="H787" s="47"/>
    </row>
    <row r="788">
      <c r="A788" s="47"/>
      <c r="B788" s="47"/>
      <c r="C788" s="47"/>
      <c r="D788" s="47"/>
      <c r="E788" s="47"/>
      <c r="F788" s="47"/>
      <c r="G788" s="47"/>
      <c r="H788" s="47"/>
    </row>
    <row r="789">
      <c r="A789" s="47"/>
      <c r="B789" s="47"/>
      <c r="C789" s="47"/>
      <c r="D789" s="47"/>
      <c r="E789" s="47"/>
      <c r="F789" s="47"/>
      <c r="G789" s="47"/>
      <c r="H789" s="47"/>
    </row>
    <row r="790">
      <c r="A790" s="47"/>
      <c r="B790" s="47"/>
      <c r="C790" s="47"/>
      <c r="D790" s="47"/>
      <c r="E790" s="47"/>
      <c r="F790" s="47"/>
      <c r="G790" s="47"/>
      <c r="H790" s="47"/>
    </row>
    <row r="791">
      <c r="A791" s="47"/>
      <c r="B791" s="47"/>
      <c r="C791" s="47"/>
      <c r="D791" s="47"/>
      <c r="E791" s="47"/>
      <c r="F791" s="47"/>
      <c r="G791" s="47"/>
      <c r="H791" s="47"/>
    </row>
    <row r="792">
      <c r="A792" s="47"/>
      <c r="B792" s="47"/>
      <c r="C792" s="47"/>
      <c r="D792" s="47"/>
      <c r="E792" s="47"/>
      <c r="F792" s="47"/>
      <c r="G792" s="47"/>
      <c r="H792" s="47"/>
    </row>
    <row r="793">
      <c r="A793" s="47"/>
      <c r="B793" s="47"/>
      <c r="C793" s="47"/>
      <c r="D793" s="47"/>
      <c r="E793" s="47"/>
      <c r="F793" s="47"/>
      <c r="G793" s="47"/>
      <c r="H793" s="47"/>
    </row>
    <row r="794">
      <c r="A794" s="47"/>
      <c r="B794" s="47"/>
      <c r="C794" s="47"/>
      <c r="D794" s="47"/>
      <c r="E794" s="47"/>
      <c r="F794" s="47"/>
      <c r="G794" s="47"/>
      <c r="H794" s="47"/>
    </row>
    <row r="795">
      <c r="A795" s="47"/>
      <c r="B795" s="47"/>
      <c r="C795" s="47"/>
      <c r="D795" s="47"/>
      <c r="E795" s="47"/>
      <c r="F795" s="47"/>
      <c r="G795" s="47"/>
      <c r="H795" s="47"/>
    </row>
    <row r="796">
      <c r="A796" s="47"/>
      <c r="B796" s="47"/>
      <c r="C796" s="47"/>
      <c r="D796" s="47"/>
      <c r="E796" s="47"/>
      <c r="F796" s="47"/>
      <c r="G796" s="47"/>
      <c r="H796" s="47"/>
    </row>
    <row r="797">
      <c r="A797" s="47"/>
      <c r="B797" s="47"/>
      <c r="C797" s="47"/>
      <c r="D797" s="47"/>
      <c r="E797" s="47"/>
      <c r="F797" s="47"/>
      <c r="G797" s="47"/>
      <c r="H797" s="47"/>
    </row>
    <row r="798">
      <c r="A798" s="47"/>
      <c r="B798" s="47"/>
      <c r="C798" s="47"/>
      <c r="D798" s="47"/>
      <c r="E798" s="47"/>
      <c r="F798" s="47"/>
      <c r="G798" s="47"/>
      <c r="H798" s="47"/>
    </row>
    <row r="799">
      <c r="A799" s="47"/>
      <c r="B799" s="47"/>
      <c r="C799" s="47"/>
      <c r="D799" s="47"/>
      <c r="E799" s="47"/>
      <c r="F799" s="47"/>
      <c r="G799" s="47"/>
      <c r="H799" s="47"/>
    </row>
    <row r="800">
      <c r="A800" s="47"/>
      <c r="B800" s="47"/>
      <c r="C800" s="47"/>
      <c r="D800" s="47"/>
      <c r="E800" s="47"/>
      <c r="F800" s="47"/>
      <c r="G800" s="47"/>
      <c r="H800" s="47"/>
    </row>
    <row r="801">
      <c r="A801" s="47"/>
      <c r="B801" s="47"/>
      <c r="C801" s="47"/>
      <c r="D801" s="47"/>
      <c r="E801" s="47"/>
      <c r="F801" s="47"/>
      <c r="G801" s="47"/>
      <c r="H801" s="47"/>
    </row>
    <row r="802">
      <c r="A802" s="47"/>
      <c r="B802" s="47"/>
      <c r="C802" s="47"/>
      <c r="D802" s="47"/>
      <c r="E802" s="47"/>
      <c r="F802" s="47"/>
      <c r="G802" s="47"/>
      <c r="H802" s="47"/>
    </row>
    <row r="803">
      <c r="A803" s="47"/>
      <c r="B803" s="47"/>
      <c r="C803" s="47"/>
      <c r="D803" s="47"/>
      <c r="E803" s="47"/>
      <c r="F803" s="47"/>
      <c r="G803" s="47"/>
      <c r="H803" s="47"/>
    </row>
    <row r="804">
      <c r="A804" s="47"/>
      <c r="B804" s="47"/>
      <c r="C804" s="47"/>
      <c r="D804" s="47"/>
      <c r="E804" s="47"/>
      <c r="F804" s="47"/>
      <c r="G804" s="47"/>
      <c r="H804" s="47"/>
    </row>
    <row r="805">
      <c r="A805" s="47"/>
      <c r="B805" s="47"/>
      <c r="C805" s="47"/>
      <c r="D805" s="47"/>
      <c r="E805" s="47"/>
      <c r="F805" s="47"/>
      <c r="G805" s="47"/>
      <c r="H805" s="47"/>
    </row>
    <row r="806">
      <c r="A806" s="47"/>
      <c r="B806" s="47"/>
      <c r="C806" s="47"/>
      <c r="D806" s="47"/>
      <c r="E806" s="47"/>
      <c r="F806" s="47"/>
      <c r="G806" s="47"/>
      <c r="H806" s="47"/>
    </row>
    <row r="807">
      <c r="A807" s="47"/>
      <c r="B807" s="47"/>
      <c r="C807" s="47"/>
      <c r="D807" s="47"/>
      <c r="E807" s="47"/>
      <c r="F807" s="47"/>
      <c r="G807" s="47"/>
      <c r="H807" s="47"/>
    </row>
    <row r="808">
      <c r="A808" s="47"/>
      <c r="B808" s="47"/>
      <c r="C808" s="47"/>
      <c r="D808" s="47"/>
      <c r="E808" s="47"/>
      <c r="F808" s="47"/>
      <c r="G808" s="47"/>
      <c r="H808" s="47"/>
    </row>
    <row r="809">
      <c r="A809" s="47"/>
      <c r="B809" s="47"/>
      <c r="C809" s="47"/>
      <c r="D809" s="47"/>
      <c r="E809" s="47"/>
      <c r="F809" s="47"/>
      <c r="G809" s="47"/>
      <c r="H809" s="47"/>
    </row>
    <row r="810">
      <c r="A810" s="47"/>
      <c r="B810" s="47"/>
      <c r="C810" s="47"/>
      <c r="D810" s="47"/>
      <c r="E810" s="47"/>
      <c r="F810" s="47"/>
      <c r="G810" s="47"/>
      <c r="H810" s="47"/>
    </row>
    <row r="811">
      <c r="A811" s="47"/>
      <c r="B811" s="47"/>
      <c r="C811" s="47"/>
      <c r="D811" s="47"/>
      <c r="E811" s="47"/>
      <c r="F811" s="47"/>
      <c r="G811" s="47"/>
      <c r="H811" s="47"/>
    </row>
    <row r="812">
      <c r="A812" s="47"/>
      <c r="B812" s="47"/>
      <c r="C812" s="47"/>
      <c r="D812" s="47"/>
      <c r="E812" s="47"/>
      <c r="F812" s="47"/>
      <c r="G812" s="47"/>
      <c r="H812" s="47"/>
    </row>
    <row r="813">
      <c r="A813" s="47"/>
      <c r="B813" s="47"/>
      <c r="C813" s="47"/>
      <c r="D813" s="47"/>
      <c r="E813" s="47"/>
      <c r="F813" s="47"/>
      <c r="G813" s="47"/>
      <c r="H813" s="47"/>
    </row>
    <row r="814">
      <c r="A814" s="47"/>
      <c r="B814" s="47"/>
      <c r="C814" s="47"/>
      <c r="D814" s="47"/>
      <c r="E814" s="47"/>
      <c r="F814" s="47"/>
      <c r="G814" s="47"/>
      <c r="H814" s="47"/>
    </row>
    <row r="815">
      <c r="A815" s="47"/>
      <c r="B815" s="47"/>
      <c r="C815" s="47"/>
      <c r="D815" s="47"/>
      <c r="E815" s="47"/>
      <c r="F815" s="47"/>
      <c r="G815" s="47"/>
      <c r="H815" s="47"/>
    </row>
    <row r="816">
      <c r="A816" s="47"/>
      <c r="B816" s="47"/>
      <c r="C816" s="47"/>
      <c r="D816" s="47"/>
      <c r="E816" s="47"/>
      <c r="F816" s="47"/>
      <c r="G816" s="47"/>
      <c r="H816" s="47"/>
    </row>
    <row r="817">
      <c r="A817" s="47"/>
      <c r="B817" s="47"/>
      <c r="C817" s="47"/>
      <c r="D817" s="47"/>
      <c r="E817" s="47"/>
      <c r="F817" s="47"/>
      <c r="G817" s="47"/>
      <c r="H817" s="47"/>
    </row>
    <row r="818">
      <c r="A818" s="47"/>
      <c r="B818" s="47"/>
      <c r="C818" s="47"/>
      <c r="D818" s="47"/>
      <c r="E818" s="47"/>
      <c r="F818" s="47"/>
      <c r="G818" s="47"/>
      <c r="H818" s="47"/>
    </row>
    <row r="819">
      <c r="A819" s="47"/>
      <c r="B819" s="47"/>
      <c r="C819" s="47"/>
      <c r="D819" s="47"/>
      <c r="E819" s="47"/>
      <c r="F819" s="47"/>
      <c r="G819" s="47"/>
      <c r="H819" s="47"/>
    </row>
    <row r="820">
      <c r="A820" s="47"/>
      <c r="B820" s="47"/>
      <c r="C820" s="47"/>
      <c r="D820" s="47"/>
      <c r="E820" s="47"/>
      <c r="F820" s="47"/>
      <c r="G820" s="47"/>
      <c r="H820" s="47"/>
    </row>
    <row r="821">
      <c r="A821" s="47"/>
      <c r="B821" s="47"/>
      <c r="C821" s="47"/>
      <c r="D821" s="47"/>
      <c r="E821" s="47"/>
      <c r="F821" s="47"/>
      <c r="G821" s="47"/>
      <c r="H821" s="47"/>
    </row>
    <row r="822">
      <c r="A822" s="47"/>
      <c r="B822" s="47"/>
      <c r="C822" s="47"/>
      <c r="D822" s="47"/>
      <c r="E822" s="47"/>
      <c r="F822" s="47"/>
      <c r="G822" s="47"/>
      <c r="H822" s="47"/>
    </row>
    <row r="823">
      <c r="A823" s="47"/>
      <c r="B823" s="47"/>
      <c r="C823" s="47"/>
      <c r="D823" s="47"/>
      <c r="E823" s="47"/>
      <c r="F823" s="47"/>
      <c r="G823" s="47"/>
      <c r="H823" s="47"/>
    </row>
    <row r="824">
      <c r="A824" s="47"/>
      <c r="B824" s="47"/>
      <c r="C824" s="47"/>
      <c r="D824" s="47"/>
      <c r="E824" s="47"/>
      <c r="F824" s="47"/>
      <c r="G824" s="47"/>
      <c r="H824" s="47"/>
    </row>
    <row r="825">
      <c r="A825" s="47"/>
      <c r="B825" s="47"/>
      <c r="C825" s="47"/>
      <c r="D825" s="47"/>
      <c r="E825" s="47"/>
      <c r="F825" s="47"/>
      <c r="G825" s="47"/>
      <c r="H825" s="47"/>
    </row>
    <row r="826">
      <c r="A826" s="47"/>
      <c r="B826" s="47"/>
      <c r="C826" s="47"/>
      <c r="D826" s="47"/>
      <c r="E826" s="47"/>
      <c r="F826" s="47"/>
      <c r="G826" s="47"/>
      <c r="H826" s="47"/>
    </row>
    <row r="827">
      <c r="A827" s="47"/>
      <c r="B827" s="47"/>
      <c r="C827" s="47"/>
      <c r="D827" s="47"/>
      <c r="E827" s="47"/>
      <c r="F827" s="47"/>
      <c r="G827" s="47"/>
      <c r="H827" s="47"/>
    </row>
    <row r="828">
      <c r="A828" s="47"/>
      <c r="B828" s="47"/>
      <c r="C828" s="47"/>
      <c r="D828" s="47"/>
      <c r="E828" s="47"/>
      <c r="F828" s="47"/>
      <c r="G828" s="47"/>
      <c r="H828" s="47"/>
    </row>
    <row r="829">
      <c r="A829" s="47"/>
      <c r="B829" s="47"/>
      <c r="C829" s="47"/>
      <c r="D829" s="47"/>
      <c r="E829" s="47"/>
      <c r="F829" s="47"/>
      <c r="G829" s="47"/>
      <c r="H829" s="47"/>
    </row>
    <row r="830">
      <c r="A830" s="47"/>
      <c r="B830" s="47"/>
      <c r="C830" s="47"/>
      <c r="D830" s="47"/>
      <c r="E830" s="47"/>
      <c r="F830" s="47"/>
      <c r="G830" s="47"/>
      <c r="H830" s="47"/>
    </row>
    <row r="831">
      <c r="A831" s="47"/>
      <c r="B831" s="47"/>
      <c r="C831" s="47"/>
      <c r="D831" s="47"/>
      <c r="E831" s="47"/>
      <c r="F831" s="47"/>
      <c r="G831" s="47"/>
      <c r="H831" s="47"/>
    </row>
    <row r="832">
      <c r="A832" s="47"/>
      <c r="B832" s="47"/>
      <c r="C832" s="47"/>
      <c r="D832" s="47"/>
      <c r="E832" s="47"/>
      <c r="F832" s="47"/>
      <c r="G832" s="47"/>
      <c r="H832" s="47"/>
    </row>
    <row r="833">
      <c r="A833" s="47"/>
      <c r="B833" s="47"/>
      <c r="C833" s="47"/>
      <c r="D833" s="47"/>
      <c r="E833" s="47"/>
      <c r="F833" s="47"/>
      <c r="G833" s="47"/>
      <c r="H833" s="47"/>
    </row>
    <row r="834">
      <c r="A834" s="47"/>
      <c r="B834" s="47"/>
      <c r="C834" s="47"/>
      <c r="D834" s="47"/>
      <c r="E834" s="47"/>
      <c r="F834" s="47"/>
      <c r="G834" s="47"/>
      <c r="H834" s="47"/>
    </row>
    <row r="835">
      <c r="A835" s="47"/>
      <c r="B835" s="47"/>
      <c r="C835" s="47"/>
      <c r="D835" s="47"/>
      <c r="E835" s="47"/>
      <c r="F835" s="47"/>
      <c r="G835" s="47"/>
      <c r="H835" s="47"/>
    </row>
    <row r="836">
      <c r="A836" s="47"/>
      <c r="B836" s="47"/>
      <c r="C836" s="47"/>
      <c r="D836" s="47"/>
      <c r="E836" s="47"/>
      <c r="F836" s="47"/>
      <c r="G836" s="47"/>
      <c r="H836" s="47"/>
    </row>
    <row r="837">
      <c r="A837" s="47"/>
      <c r="B837" s="47"/>
      <c r="C837" s="47"/>
      <c r="D837" s="47"/>
      <c r="E837" s="47"/>
      <c r="F837" s="47"/>
      <c r="G837" s="47"/>
      <c r="H837" s="47"/>
    </row>
    <row r="838">
      <c r="A838" s="47"/>
      <c r="B838" s="47"/>
      <c r="C838" s="47"/>
      <c r="D838" s="47"/>
      <c r="E838" s="47"/>
      <c r="F838" s="47"/>
      <c r="G838" s="47"/>
      <c r="H838" s="47"/>
    </row>
    <row r="839">
      <c r="A839" s="47"/>
      <c r="B839" s="47"/>
      <c r="C839" s="47"/>
      <c r="D839" s="47"/>
      <c r="E839" s="47"/>
      <c r="F839" s="47"/>
      <c r="G839" s="47"/>
      <c r="H839" s="47"/>
    </row>
    <row r="840">
      <c r="A840" s="47"/>
      <c r="B840" s="47"/>
      <c r="C840" s="47"/>
      <c r="D840" s="47"/>
      <c r="E840" s="47"/>
      <c r="F840" s="47"/>
      <c r="G840" s="47"/>
      <c r="H840" s="47"/>
    </row>
    <row r="841">
      <c r="A841" s="47"/>
      <c r="B841" s="47"/>
      <c r="C841" s="47"/>
      <c r="D841" s="47"/>
      <c r="E841" s="47"/>
      <c r="F841" s="47"/>
      <c r="G841" s="47"/>
      <c r="H841" s="47"/>
    </row>
    <row r="842">
      <c r="A842" s="47"/>
      <c r="B842" s="47"/>
      <c r="C842" s="47"/>
      <c r="D842" s="47"/>
      <c r="E842" s="47"/>
      <c r="F842" s="47"/>
      <c r="G842" s="47"/>
      <c r="H842" s="47"/>
    </row>
    <row r="843">
      <c r="A843" s="47"/>
      <c r="B843" s="47"/>
      <c r="C843" s="47"/>
      <c r="D843" s="47"/>
      <c r="E843" s="47"/>
      <c r="F843" s="47"/>
      <c r="G843" s="47"/>
      <c r="H843" s="47"/>
    </row>
    <row r="844">
      <c r="A844" s="47"/>
      <c r="B844" s="47"/>
      <c r="C844" s="47"/>
      <c r="D844" s="47"/>
      <c r="E844" s="47"/>
      <c r="F844" s="47"/>
      <c r="G844" s="47"/>
      <c r="H844" s="47"/>
    </row>
    <row r="845">
      <c r="A845" s="47"/>
      <c r="B845" s="47"/>
      <c r="C845" s="47"/>
      <c r="D845" s="47"/>
      <c r="E845" s="47"/>
      <c r="F845" s="47"/>
      <c r="G845" s="47"/>
      <c r="H845" s="47"/>
    </row>
    <row r="846">
      <c r="A846" s="47"/>
      <c r="B846" s="47"/>
      <c r="C846" s="47"/>
      <c r="D846" s="47"/>
      <c r="E846" s="47"/>
      <c r="F846" s="47"/>
      <c r="G846" s="47"/>
      <c r="H846" s="47"/>
    </row>
    <row r="847">
      <c r="A847" s="47"/>
      <c r="B847" s="47"/>
      <c r="C847" s="47"/>
      <c r="D847" s="47"/>
      <c r="E847" s="47"/>
      <c r="F847" s="47"/>
      <c r="G847" s="47"/>
      <c r="H847" s="47"/>
    </row>
    <row r="848">
      <c r="A848" s="47"/>
      <c r="B848" s="47"/>
      <c r="C848" s="47"/>
      <c r="D848" s="47"/>
      <c r="E848" s="47"/>
      <c r="F848" s="47"/>
      <c r="G848" s="47"/>
      <c r="H848" s="47"/>
    </row>
    <row r="849">
      <c r="A849" s="47"/>
      <c r="B849" s="47"/>
      <c r="C849" s="47"/>
      <c r="D849" s="47"/>
      <c r="E849" s="47"/>
      <c r="F849" s="47"/>
      <c r="G849" s="47"/>
      <c r="H849" s="47"/>
    </row>
    <row r="850">
      <c r="A850" s="47"/>
      <c r="B850" s="47"/>
      <c r="C850" s="47"/>
      <c r="D850" s="47"/>
      <c r="E850" s="47"/>
      <c r="F850" s="47"/>
      <c r="G850" s="47"/>
      <c r="H850" s="47"/>
    </row>
    <row r="851">
      <c r="A851" s="47"/>
      <c r="B851" s="47"/>
      <c r="C851" s="47"/>
      <c r="D851" s="47"/>
      <c r="E851" s="47"/>
      <c r="F851" s="47"/>
      <c r="G851" s="47"/>
      <c r="H851" s="47"/>
    </row>
    <row r="852">
      <c r="A852" s="47"/>
      <c r="B852" s="47"/>
      <c r="C852" s="47"/>
      <c r="D852" s="47"/>
      <c r="E852" s="47"/>
      <c r="F852" s="47"/>
      <c r="G852" s="47"/>
      <c r="H852" s="47"/>
    </row>
    <row r="853">
      <c r="A853" s="47"/>
      <c r="B853" s="47"/>
      <c r="C853" s="47"/>
      <c r="D853" s="47"/>
      <c r="E853" s="47"/>
      <c r="F853" s="47"/>
      <c r="G853" s="47"/>
      <c r="H853" s="47"/>
    </row>
    <row r="854">
      <c r="A854" s="47"/>
      <c r="B854" s="47"/>
      <c r="C854" s="47"/>
      <c r="D854" s="47"/>
      <c r="E854" s="47"/>
      <c r="F854" s="47"/>
      <c r="G854" s="47"/>
      <c r="H854" s="47"/>
    </row>
    <row r="855">
      <c r="A855" s="47"/>
      <c r="B855" s="47"/>
      <c r="C855" s="47"/>
      <c r="D855" s="47"/>
      <c r="E855" s="47"/>
      <c r="F855" s="47"/>
      <c r="G855" s="47"/>
      <c r="H855" s="47"/>
    </row>
    <row r="856">
      <c r="A856" s="47"/>
      <c r="B856" s="47"/>
      <c r="C856" s="47"/>
      <c r="D856" s="47"/>
      <c r="E856" s="47"/>
      <c r="F856" s="47"/>
      <c r="G856" s="47"/>
      <c r="H856" s="47"/>
    </row>
    <row r="857">
      <c r="A857" s="47"/>
      <c r="B857" s="47"/>
      <c r="C857" s="47"/>
      <c r="D857" s="47"/>
      <c r="E857" s="47"/>
      <c r="F857" s="47"/>
      <c r="G857" s="47"/>
      <c r="H857" s="47"/>
    </row>
    <row r="858">
      <c r="A858" s="47"/>
      <c r="B858" s="47"/>
      <c r="C858" s="47"/>
      <c r="D858" s="47"/>
      <c r="E858" s="47"/>
      <c r="F858" s="47"/>
      <c r="G858" s="47"/>
      <c r="H858" s="47"/>
    </row>
    <row r="859">
      <c r="A859" s="47"/>
      <c r="B859" s="47"/>
      <c r="C859" s="47"/>
      <c r="D859" s="47"/>
      <c r="E859" s="47"/>
      <c r="F859" s="47"/>
      <c r="G859" s="47"/>
      <c r="H859" s="47"/>
    </row>
    <row r="860">
      <c r="A860" s="47"/>
      <c r="B860" s="47"/>
      <c r="C860" s="47"/>
      <c r="D860" s="47"/>
      <c r="E860" s="47"/>
      <c r="F860" s="47"/>
      <c r="G860" s="47"/>
      <c r="H860" s="47"/>
    </row>
    <row r="861">
      <c r="A861" s="47"/>
      <c r="B861" s="47"/>
      <c r="C861" s="47"/>
      <c r="D861" s="47"/>
      <c r="E861" s="47"/>
      <c r="F861" s="47"/>
      <c r="G861" s="47"/>
      <c r="H861" s="47"/>
    </row>
    <row r="862">
      <c r="A862" s="47"/>
      <c r="B862" s="47"/>
      <c r="C862" s="47"/>
      <c r="D862" s="47"/>
      <c r="E862" s="47"/>
      <c r="F862" s="47"/>
      <c r="G862" s="47"/>
      <c r="H862" s="47"/>
    </row>
    <row r="863">
      <c r="A863" s="47"/>
      <c r="B863" s="47"/>
      <c r="C863" s="47"/>
      <c r="D863" s="47"/>
      <c r="E863" s="47"/>
      <c r="F863" s="47"/>
      <c r="G863" s="47"/>
      <c r="H863" s="47"/>
    </row>
    <row r="864">
      <c r="A864" s="47"/>
      <c r="B864" s="47"/>
      <c r="C864" s="47"/>
      <c r="D864" s="47"/>
      <c r="E864" s="47"/>
      <c r="F864" s="47"/>
      <c r="G864" s="47"/>
      <c r="H864" s="47"/>
    </row>
    <row r="865">
      <c r="A865" s="47"/>
      <c r="B865" s="47"/>
      <c r="C865" s="47"/>
      <c r="D865" s="47"/>
      <c r="E865" s="47"/>
      <c r="F865" s="47"/>
      <c r="G865" s="47"/>
      <c r="H865" s="47"/>
    </row>
    <row r="866">
      <c r="A866" s="47"/>
      <c r="B866" s="47"/>
      <c r="C866" s="47"/>
      <c r="D866" s="47"/>
      <c r="E866" s="47"/>
      <c r="F866" s="47"/>
      <c r="G866" s="47"/>
      <c r="H866" s="47"/>
    </row>
    <row r="867">
      <c r="A867" s="47"/>
      <c r="B867" s="47"/>
      <c r="C867" s="47"/>
      <c r="D867" s="47"/>
      <c r="E867" s="47"/>
      <c r="F867" s="47"/>
      <c r="G867" s="47"/>
      <c r="H867" s="47"/>
    </row>
    <row r="868">
      <c r="A868" s="47"/>
      <c r="B868" s="47"/>
      <c r="C868" s="47"/>
      <c r="D868" s="47"/>
      <c r="E868" s="47"/>
      <c r="F868" s="47"/>
      <c r="G868" s="47"/>
      <c r="H868" s="47"/>
    </row>
    <row r="869">
      <c r="A869" s="47"/>
      <c r="B869" s="47"/>
      <c r="C869" s="47"/>
      <c r="D869" s="47"/>
      <c r="E869" s="47"/>
      <c r="F869" s="47"/>
      <c r="G869" s="47"/>
      <c r="H869" s="47"/>
    </row>
    <row r="870">
      <c r="A870" s="47"/>
      <c r="B870" s="47"/>
      <c r="C870" s="47"/>
      <c r="D870" s="47"/>
      <c r="E870" s="47"/>
      <c r="F870" s="47"/>
      <c r="G870" s="47"/>
      <c r="H870" s="47"/>
    </row>
    <row r="871">
      <c r="A871" s="47"/>
      <c r="B871" s="47"/>
      <c r="C871" s="47"/>
      <c r="D871" s="47"/>
      <c r="E871" s="47"/>
      <c r="F871" s="47"/>
      <c r="G871" s="47"/>
      <c r="H871" s="47"/>
    </row>
    <row r="872">
      <c r="A872" s="47"/>
      <c r="B872" s="47"/>
      <c r="C872" s="47"/>
      <c r="D872" s="47"/>
      <c r="E872" s="47"/>
      <c r="F872" s="47"/>
      <c r="G872" s="47"/>
      <c r="H872" s="47"/>
    </row>
    <row r="873">
      <c r="A873" s="47"/>
      <c r="B873" s="47"/>
      <c r="C873" s="47"/>
      <c r="D873" s="47"/>
      <c r="E873" s="47"/>
      <c r="F873" s="47"/>
      <c r="G873" s="47"/>
      <c r="H873" s="47"/>
    </row>
    <row r="874">
      <c r="A874" s="47"/>
      <c r="B874" s="47"/>
      <c r="C874" s="47"/>
      <c r="D874" s="47"/>
      <c r="E874" s="47"/>
      <c r="F874" s="47"/>
      <c r="G874" s="47"/>
      <c r="H874" s="47"/>
    </row>
    <row r="875">
      <c r="A875" s="47"/>
      <c r="B875" s="47"/>
      <c r="C875" s="47"/>
      <c r="D875" s="47"/>
      <c r="E875" s="47"/>
      <c r="F875" s="47"/>
      <c r="G875" s="47"/>
      <c r="H875" s="47"/>
    </row>
    <row r="876">
      <c r="A876" s="47"/>
      <c r="B876" s="47"/>
      <c r="C876" s="47"/>
      <c r="D876" s="47"/>
      <c r="E876" s="47"/>
      <c r="F876" s="47"/>
      <c r="G876" s="47"/>
      <c r="H876" s="47"/>
    </row>
    <row r="877">
      <c r="A877" s="47"/>
      <c r="B877" s="47"/>
      <c r="C877" s="47"/>
      <c r="D877" s="47"/>
      <c r="E877" s="47"/>
      <c r="F877" s="47"/>
      <c r="G877" s="47"/>
      <c r="H877" s="47"/>
    </row>
    <row r="878">
      <c r="A878" s="47"/>
      <c r="B878" s="47"/>
      <c r="C878" s="47"/>
      <c r="D878" s="47"/>
      <c r="E878" s="47"/>
      <c r="F878" s="47"/>
      <c r="G878" s="47"/>
      <c r="H878" s="47"/>
    </row>
    <row r="879">
      <c r="A879" s="47"/>
      <c r="B879" s="47"/>
      <c r="C879" s="47"/>
      <c r="D879" s="47"/>
      <c r="E879" s="47"/>
      <c r="F879" s="47"/>
      <c r="G879" s="47"/>
      <c r="H879" s="47"/>
    </row>
    <row r="880">
      <c r="A880" s="47"/>
      <c r="B880" s="47"/>
      <c r="C880" s="47"/>
      <c r="D880" s="47"/>
      <c r="E880" s="47"/>
      <c r="F880" s="47"/>
      <c r="G880" s="47"/>
      <c r="H880" s="47"/>
    </row>
    <row r="881">
      <c r="A881" s="47"/>
      <c r="B881" s="47"/>
      <c r="C881" s="47"/>
      <c r="D881" s="47"/>
      <c r="E881" s="47"/>
      <c r="F881" s="47"/>
      <c r="G881" s="47"/>
      <c r="H881" s="47"/>
    </row>
    <row r="882">
      <c r="A882" s="47"/>
      <c r="B882" s="47"/>
      <c r="C882" s="47"/>
      <c r="D882" s="47"/>
      <c r="E882" s="47"/>
      <c r="F882" s="47"/>
      <c r="G882" s="47"/>
      <c r="H882" s="47"/>
    </row>
    <row r="883">
      <c r="A883" s="47"/>
      <c r="B883" s="47"/>
      <c r="C883" s="47"/>
      <c r="D883" s="47"/>
      <c r="E883" s="47"/>
      <c r="F883" s="47"/>
      <c r="G883" s="47"/>
      <c r="H883" s="47"/>
    </row>
    <row r="884">
      <c r="A884" s="47"/>
      <c r="B884" s="47"/>
      <c r="C884" s="47"/>
      <c r="D884" s="47"/>
      <c r="E884" s="47"/>
      <c r="F884" s="47"/>
      <c r="G884" s="47"/>
      <c r="H884" s="47"/>
    </row>
    <row r="885">
      <c r="A885" s="47"/>
      <c r="B885" s="47"/>
      <c r="C885" s="47"/>
      <c r="D885" s="47"/>
      <c r="E885" s="47"/>
      <c r="F885" s="47"/>
      <c r="G885" s="47"/>
      <c r="H885" s="47"/>
    </row>
    <row r="886">
      <c r="A886" s="47"/>
      <c r="B886" s="47"/>
      <c r="C886" s="47"/>
      <c r="D886" s="47"/>
      <c r="E886" s="47"/>
      <c r="F886" s="47"/>
      <c r="G886" s="47"/>
      <c r="H886" s="47"/>
    </row>
    <row r="887">
      <c r="A887" s="47"/>
      <c r="B887" s="47"/>
      <c r="C887" s="47"/>
      <c r="D887" s="47"/>
      <c r="E887" s="47"/>
      <c r="F887" s="47"/>
      <c r="G887" s="47"/>
      <c r="H887" s="47"/>
    </row>
    <row r="888">
      <c r="A888" s="47"/>
      <c r="B888" s="47"/>
      <c r="C888" s="47"/>
      <c r="D888" s="47"/>
      <c r="E888" s="47"/>
      <c r="F888" s="47"/>
      <c r="G888" s="47"/>
      <c r="H888" s="47"/>
    </row>
    <row r="889">
      <c r="A889" s="47"/>
      <c r="B889" s="47"/>
      <c r="C889" s="47"/>
      <c r="D889" s="47"/>
      <c r="E889" s="47"/>
      <c r="F889" s="47"/>
      <c r="G889" s="47"/>
      <c r="H889" s="47"/>
    </row>
    <row r="890">
      <c r="A890" s="47"/>
      <c r="B890" s="47"/>
      <c r="C890" s="47"/>
      <c r="D890" s="47"/>
      <c r="E890" s="47"/>
      <c r="F890" s="47"/>
      <c r="G890" s="47"/>
      <c r="H890" s="47"/>
    </row>
    <row r="891">
      <c r="A891" s="47"/>
      <c r="B891" s="47"/>
      <c r="C891" s="47"/>
      <c r="D891" s="47"/>
      <c r="E891" s="47"/>
      <c r="F891" s="47"/>
      <c r="G891" s="47"/>
      <c r="H891" s="47"/>
    </row>
    <row r="892">
      <c r="A892" s="47"/>
      <c r="B892" s="47"/>
      <c r="C892" s="47"/>
      <c r="D892" s="47"/>
      <c r="E892" s="47"/>
      <c r="F892" s="47"/>
      <c r="G892" s="47"/>
      <c r="H892" s="47"/>
    </row>
    <row r="893">
      <c r="A893" s="47"/>
      <c r="B893" s="47"/>
      <c r="C893" s="47"/>
      <c r="D893" s="47"/>
      <c r="E893" s="47"/>
      <c r="F893" s="47"/>
      <c r="G893" s="47"/>
      <c r="H893" s="47"/>
    </row>
    <row r="894">
      <c r="A894" s="47"/>
      <c r="B894" s="47"/>
      <c r="C894" s="47"/>
      <c r="D894" s="47"/>
      <c r="E894" s="47"/>
      <c r="F894" s="47"/>
      <c r="G894" s="47"/>
      <c r="H894" s="47"/>
    </row>
    <row r="895">
      <c r="A895" s="47"/>
      <c r="B895" s="47"/>
      <c r="C895" s="47"/>
      <c r="D895" s="47"/>
      <c r="E895" s="47"/>
      <c r="F895" s="47"/>
      <c r="G895" s="47"/>
      <c r="H895" s="47"/>
    </row>
    <row r="896">
      <c r="A896" s="47"/>
      <c r="B896" s="47"/>
      <c r="C896" s="47"/>
      <c r="D896" s="47"/>
      <c r="E896" s="47"/>
      <c r="F896" s="47"/>
      <c r="G896" s="47"/>
      <c r="H896" s="47"/>
    </row>
    <row r="897">
      <c r="A897" s="47"/>
      <c r="B897" s="47"/>
      <c r="C897" s="47"/>
      <c r="D897" s="47"/>
      <c r="E897" s="47"/>
      <c r="F897" s="47"/>
      <c r="G897" s="47"/>
      <c r="H897" s="47"/>
    </row>
    <row r="898">
      <c r="A898" s="47"/>
      <c r="B898" s="47"/>
      <c r="C898" s="47"/>
      <c r="D898" s="47"/>
      <c r="E898" s="47"/>
      <c r="F898" s="47"/>
      <c r="G898" s="47"/>
      <c r="H898" s="47"/>
    </row>
    <row r="899">
      <c r="A899" s="47"/>
      <c r="B899" s="47"/>
      <c r="C899" s="47"/>
      <c r="D899" s="47"/>
      <c r="E899" s="47"/>
      <c r="F899" s="47"/>
      <c r="G899" s="47"/>
      <c r="H899" s="47"/>
    </row>
    <row r="900">
      <c r="A900" s="47"/>
      <c r="B900" s="47"/>
      <c r="C900" s="47"/>
      <c r="D900" s="47"/>
      <c r="E900" s="47"/>
      <c r="F900" s="47"/>
      <c r="G900" s="47"/>
      <c r="H900" s="47"/>
    </row>
    <row r="901">
      <c r="A901" s="47"/>
      <c r="B901" s="47"/>
      <c r="C901" s="47"/>
      <c r="D901" s="47"/>
      <c r="E901" s="47"/>
      <c r="F901" s="47"/>
      <c r="G901" s="47"/>
      <c r="H901" s="47"/>
    </row>
    <row r="902">
      <c r="A902" s="47"/>
      <c r="B902" s="47"/>
      <c r="C902" s="47"/>
      <c r="D902" s="47"/>
      <c r="E902" s="47"/>
      <c r="F902" s="47"/>
      <c r="G902" s="47"/>
      <c r="H902" s="47"/>
    </row>
    <row r="903">
      <c r="A903" s="47"/>
      <c r="B903" s="47"/>
      <c r="C903" s="47"/>
      <c r="D903" s="47"/>
      <c r="E903" s="47"/>
      <c r="F903" s="47"/>
      <c r="G903" s="47"/>
      <c r="H903" s="47"/>
    </row>
    <row r="904">
      <c r="A904" s="47"/>
      <c r="B904" s="47"/>
      <c r="C904" s="47"/>
      <c r="D904" s="47"/>
      <c r="E904" s="47"/>
      <c r="F904" s="47"/>
      <c r="G904" s="47"/>
      <c r="H904" s="47"/>
    </row>
    <row r="905">
      <c r="A905" s="47"/>
      <c r="B905" s="47"/>
      <c r="C905" s="47"/>
      <c r="D905" s="47"/>
      <c r="E905" s="47"/>
      <c r="F905" s="47"/>
      <c r="G905" s="47"/>
      <c r="H905" s="47"/>
    </row>
    <row r="906">
      <c r="A906" s="47"/>
      <c r="B906" s="47"/>
      <c r="C906" s="47"/>
      <c r="D906" s="47"/>
      <c r="E906" s="47"/>
      <c r="F906" s="47"/>
      <c r="G906" s="47"/>
      <c r="H906" s="47"/>
    </row>
    <row r="907">
      <c r="A907" s="47"/>
      <c r="B907" s="47"/>
      <c r="C907" s="47"/>
      <c r="D907" s="47"/>
      <c r="E907" s="47"/>
      <c r="F907" s="47"/>
      <c r="G907" s="47"/>
      <c r="H907" s="47"/>
    </row>
    <row r="908">
      <c r="A908" s="47"/>
      <c r="B908" s="47"/>
      <c r="C908" s="47"/>
      <c r="D908" s="47"/>
      <c r="E908" s="47"/>
      <c r="F908" s="47"/>
      <c r="G908" s="47"/>
      <c r="H908" s="47"/>
    </row>
    <row r="909">
      <c r="A909" s="47"/>
      <c r="B909" s="47"/>
      <c r="C909" s="47"/>
      <c r="D909" s="47"/>
      <c r="E909" s="47"/>
      <c r="F909" s="47"/>
      <c r="G909" s="47"/>
      <c r="H909" s="47"/>
    </row>
    <row r="910">
      <c r="A910" s="47"/>
      <c r="B910" s="47"/>
      <c r="C910" s="47"/>
      <c r="D910" s="47"/>
      <c r="E910" s="47"/>
      <c r="F910" s="47"/>
      <c r="G910" s="47"/>
      <c r="H910" s="47"/>
    </row>
    <row r="911">
      <c r="A911" s="47"/>
      <c r="B911" s="47"/>
      <c r="C911" s="47"/>
      <c r="D911" s="47"/>
      <c r="E911" s="47"/>
      <c r="F911" s="47"/>
      <c r="G911" s="47"/>
      <c r="H911" s="47"/>
    </row>
    <row r="912">
      <c r="A912" s="47"/>
      <c r="B912" s="47"/>
      <c r="C912" s="47"/>
      <c r="D912" s="47"/>
      <c r="E912" s="47"/>
      <c r="F912" s="47"/>
      <c r="G912" s="47"/>
      <c r="H912" s="47"/>
    </row>
    <row r="913">
      <c r="A913" s="47"/>
      <c r="B913" s="47"/>
      <c r="C913" s="47"/>
      <c r="D913" s="47"/>
      <c r="E913" s="47"/>
      <c r="F913" s="47"/>
      <c r="G913" s="47"/>
      <c r="H913" s="47"/>
    </row>
    <row r="914">
      <c r="A914" s="47"/>
      <c r="B914" s="47"/>
      <c r="C914" s="47"/>
      <c r="D914" s="47"/>
      <c r="E914" s="47"/>
      <c r="F914" s="47"/>
      <c r="G914" s="47"/>
      <c r="H914" s="47"/>
    </row>
    <row r="915">
      <c r="A915" s="47"/>
      <c r="B915" s="47"/>
      <c r="C915" s="47"/>
      <c r="D915" s="47"/>
      <c r="E915" s="47"/>
      <c r="F915" s="47"/>
      <c r="G915" s="47"/>
      <c r="H915" s="47"/>
    </row>
    <row r="916">
      <c r="A916" s="47"/>
      <c r="B916" s="47"/>
      <c r="C916" s="47"/>
      <c r="D916" s="47"/>
      <c r="E916" s="47"/>
      <c r="F916" s="47"/>
      <c r="G916" s="47"/>
      <c r="H916" s="47"/>
    </row>
    <row r="917">
      <c r="A917" s="47"/>
      <c r="B917" s="47"/>
      <c r="C917" s="47"/>
      <c r="D917" s="47"/>
      <c r="E917" s="47"/>
      <c r="F917" s="47"/>
      <c r="G917" s="47"/>
      <c r="H917" s="47"/>
    </row>
    <row r="918">
      <c r="A918" s="47"/>
      <c r="B918" s="47"/>
      <c r="C918" s="47"/>
      <c r="D918" s="47"/>
      <c r="E918" s="47"/>
      <c r="F918" s="47"/>
      <c r="G918" s="47"/>
      <c r="H918" s="47"/>
    </row>
    <row r="919">
      <c r="A919" s="47"/>
      <c r="B919" s="47"/>
      <c r="C919" s="47"/>
      <c r="D919" s="47"/>
      <c r="E919" s="47"/>
      <c r="F919" s="47"/>
      <c r="G919" s="47"/>
      <c r="H919" s="47"/>
    </row>
    <row r="920">
      <c r="A920" s="47"/>
      <c r="B920" s="47"/>
      <c r="C920" s="47"/>
      <c r="D920" s="47"/>
      <c r="E920" s="47"/>
      <c r="F920" s="47"/>
      <c r="G920" s="47"/>
      <c r="H920" s="47"/>
    </row>
    <row r="921">
      <c r="A921" s="47"/>
      <c r="B921" s="47"/>
      <c r="C921" s="47"/>
      <c r="D921" s="47"/>
      <c r="E921" s="47"/>
      <c r="F921" s="47"/>
      <c r="G921" s="47"/>
      <c r="H921" s="47"/>
    </row>
    <row r="922">
      <c r="A922" s="47"/>
      <c r="B922" s="47"/>
      <c r="C922" s="47"/>
      <c r="D922" s="47"/>
      <c r="E922" s="47"/>
      <c r="F922" s="47"/>
      <c r="G922" s="47"/>
      <c r="H922" s="47"/>
    </row>
    <row r="923">
      <c r="A923" s="47"/>
      <c r="B923" s="47"/>
      <c r="C923" s="47"/>
      <c r="D923" s="47"/>
      <c r="E923" s="47"/>
      <c r="F923" s="47"/>
      <c r="G923" s="47"/>
      <c r="H923" s="47"/>
    </row>
    <row r="924">
      <c r="A924" s="47"/>
      <c r="B924" s="47"/>
      <c r="C924" s="47"/>
      <c r="D924" s="47"/>
      <c r="E924" s="47"/>
      <c r="F924" s="47"/>
      <c r="G924" s="47"/>
      <c r="H924" s="47"/>
    </row>
    <row r="925">
      <c r="A925" s="47"/>
      <c r="B925" s="47"/>
      <c r="C925" s="47"/>
      <c r="D925" s="47"/>
      <c r="E925" s="47"/>
      <c r="F925" s="47"/>
      <c r="G925" s="47"/>
      <c r="H925" s="47"/>
    </row>
    <row r="926">
      <c r="A926" s="47"/>
      <c r="B926" s="47"/>
      <c r="C926" s="47"/>
      <c r="D926" s="47"/>
      <c r="E926" s="47"/>
      <c r="F926" s="47"/>
      <c r="G926" s="47"/>
      <c r="H926" s="47"/>
    </row>
    <row r="927">
      <c r="A927" s="47"/>
      <c r="B927" s="47"/>
      <c r="C927" s="47"/>
      <c r="D927" s="47"/>
      <c r="E927" s="47"/>
      <c r="F927" s="47"/>
      <c r="G927" s="47"/>
      <c r="H927" s="47"/>
    </row>
    <row r="928">
      <c r="A928" s="47"/>
      <c r="B928" s="47"/>
      <c r="C928" s="47"/>
      <c r="D928" s="47"/>
      <c r="E928" s="47"/>
      <c r="F928" s="47"/>
      <c r="G928" s="47"/>
      <c r="H928" s="47"/>
    </row>
    <row r="929">
      <c r="A929" s="47"/>
      <c r="B929" s="47"/>
      <c r="C929" s="47"/>
      <c r="D929" s="47"/>
      <c r="E929" s="47"/>
      <c r="F929" s="47"/>
      <c r="G929" s="47"/>
      <c r="H929" s="47"/>
    </row>
    <row r="930">
      <c r="A930" s="47"/>
      <c r="B930" s="47"/>
      <c r="C930" s="47"/>
      <c r="D930" s="47"/>
      <c r="E930" s="47"/>
      <c r="F930" s="47"/>
      <c r="G930" s="47"/>
      <c r="H930" s="47"/>
    </row>
    <row r="931">
      <c r="A931" s="47"/>
      <c r="B931" s="47"/>
      <c r="C931" s="47"/>
      <c r="D931" s="47"/>
      <c r="E931" s="47"/>
      <c r="F931" s="47"/>
      <c r="G931" s="47"/>
      <c r="H931" s="47"/>
    </row>
    <row r="932">
      <c r="A932" s="47"/>
      <c r="B932" s="47"/>
      <c r="C932" s="47"/>
      <c r="D932" s="47"/>
      <c r="E932" s="47"/>
      <c r="F932" s="47"/>
      <c r="G932" s="47"/>
      <c r="H932" s="47"/>
    </row>
    <row r="933">
      <c r="A933" s="47"/>
      <c r="B933" s="47"/>
      <c r="C933" s="47"/>
      <c r="D933" s="47"/>
      <c r="E933" s="47"/>
      <c r="F933" s="47"/>
      <c r="G933" s="47"/>
      <c r="H933" s="47"/>
    </row>
    <row r="934">
      <c r="A934" s="47"/>
      <c r="B934" s="47"/>
      <c r="C934" s="47"/>
      <c r="D934" s="47"/>
      <c r="E934" s="47"/>
      <c r="F934" s="47"/>
      <c r="G934" s="47"/>
      <c r="H934" s="47"/>
    </row>
    <row r="935">
      <c r="A935" s="47"/>
      <c r="B935" s="47"/>
      <c r="C935" s="47"/>
      <c r="D935" s="47"/>
      <c r="E935" s="47"/>
      <c r="F935" s="47"/>
      <c r="G935" s="47"/>
      <c r="H935" s="47"/>
    </row>
    <row r="936">
      <c r="A936" s="47"/>
      <c r="B936" s="47"/>
      <c r="C936" s="47"/>
      <c r="D936" s="47"/>
      <c r="E936" s="47"/>
      <c r="F936" s="47"/>
      <c r="G936" s="47"/>
      <c r="H936" s="47"/>
    </row>
    <row r="937">
      <c r="A937" s="47"/>
      <c r="B937" s="47"/>
      <c r="C937" s="47"/>
      <c r="D937" s="47"/>
      <c r="E937" s="47"/>
      <c r="F937" s="47"/>
      <c r="G937" s="47"/>
      <c r="H937" s="47"/>
    </row>
    <row r="938">
      <c r="A938" s="47"/>
      <c r="B938" s="47"/>
      <c r="C938" s="47"/>
      <c r="D938" s="47"/>
      <c r="E938" s="47"/>
      <c r="F938" s="47"/>
      <c r="G938" s="47"/>
      <c r="H938" s="47"/>
    </row>
    <row r="939">
      <c r="A939" s="47"/>
      <c r="B939" s="47"/>
      <c r="C939" s="47"/>
      <c r="D939" s="47"/>
      <c r="E939" s="47"/>
      <c r="F939" s="47"/>
      <c r="G939" s="47"/>
      <c r="H939" s="47"/>
    </row>
    <row r="940">
      <c r="A940" s="47"/>
      <c r="B940" s="47"/>
      <c r="C940" s="47"/>
      <c r="D940" s="47"/>
      <c r="E940" s="47"/>
      <c r="F940" s="47"/>
      <c r="G940" s="47"/>
      <c r="H940" s="47"/>
    </row>
    <row r="941">
      <c r="A941" s="47"/>
      <c r="B941" s="47"/>
      <c r="C941" s="47"/>
      <c r="D941" s="47"/>
      <c r="E941" s="47"/>
      <c r="F941" s="47"/>
      <c r="G941" s="47"/>
      <c r="H941" s="47"/>
    </row>
    <row r="942">
      <c r="A942" s="47"/>
      <c r="B942" s="47"/>
      <c r="C942" s="47"/>
      <c r="D942" s="47"/>
      <c r="E942" s="47"/>
      <c r="F942" s="47"/>
      <c r="G942" s="47"/>
      <c r="H942" s="47"/>
    </row>
    <row r="943">
      <c r="A943" s="47"/>
      <c r="B943" s="47"/>
      <c r="C943" s="47"/>
      <c r="D943" s="47"/>
      <c r="E943" s="47"/>
      <c r="F943" s="47"/>
      <c r="G943" s="47"/>
      <c r="H943" s="47"/>
    </row>
    <row r="944">
      <c r="A944" s="47"/>
      <c r="B944" s="47"/>
      <c r="C944" s="47"/>
      <c r="D944" s="47"/>
      <c r="E944" s="47"/>
      <c r="F944" s="47"/>
      <c r="G944" s="47"/>
      <c r="H944" s="47"/>
    </row>
    <row r="945">
      <c r="A945" s="47"/>
      <c r="B945" s="47"/>
      <c r="C945" s="47"/>
      <c r="D945" s="47"/>
      <c r="E945" s="47"/>
      <c r="F945" s="47"/>
      <c r="G945" s="47"/>
      <c r="H945" s="47"/>
    </row>
    <row r="946">
      <c r="A946" s="47"/>
      <c r="B946" s="47"/>
      <c r="C946" s="47"/>
      <c r="D946" s="47"/>
      <c r="E946" s="47"/>
      <c r="F946" s="47"/>
      <c r="G946" s="47"/>
      <c r="H946" s="4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328</v>
      </c>
      <c r="B1" s="5"/>
      <c r="C1" s="5"/>
      <c r="D1" s="5"/>
      <c r="E1" s="5"/>
      <c r="F1" s="5"/>
      <c r="G1" s="5"/>
      <c r="H1" s="5"/>
      <c r="I1" s="5"/>
    </row>
    <row r="2">
      <c r="A2" s="7"/>
      <c r="B2" s="8" t="s">
        <v>13</v>
      </c>
      <c r="C2" s="8" t="s">
        <v>35</v>
      </c>
      <c r="D2" s="8" t="s">
        <v>51</v>
      </c>
      <c r="E2" s="8" t="s">
        <v>62</v>
      </c>
      <c r="F2" s="8" t="s">
        <v>68</v>
      </c>
      <c r="G2" s="8" t="s">
        <v>71</v>
      </c>
      <c r="H2" s="8" t="s">
        <v>76</v>
      </c>
      <c r="I2" s="8" t="s">
        <v>88</v>
      </c>
    </row>
    <row r="3">
      <c r="A3" s="38" t="s">
        <v>52</v>
      </c>
      <c r="B3" s="39">
        <v>59.0</v>
      </c>
      <c r="C3" s="39">
        <v>59.0</v>
      </c>
      <c r="D3" s="39">
        <v>59.0</v>
      </c>
      <c r="E3" s="39">
        <v>58.0</v>
      </c>
      <c r="F3" s="39">
        <v>57.0</v>
      </c>
      <c r="G3" s="39">
        <v>57.0</v>
      </c>
      <c r="H3" s="39">
        <v>58.0</v>
      </c>
      <c r="I3" s="39">
        <v>57.0</v>
      </c>
      <c r="J3" s="6" t="s">
        <v>332</v>
      </c>
    </row>
    <row r="4">
      <c r="A4" s="9" t="s">
        <v>67</v>
      </c>
      <c r="B4" s="10">
        <v>0.0</v>
      </c>
      <c r="C4" s="10">
        <v>0.0</v>
      </c>
      <c r="D4" s="10">
        <v>0.0</v>
      </c>
      <c r="E4" s="10">
        <v>1.0</v>
      </c>
      <c r="F4" s="10">
        <v>2.0</v>
      </c>
      <c r="G4" s="10">
        <v>2.0</v>
      </c>
      <c r="H4" s="10">
        <v>1.0</v>
      </c>
      <c r="I4" s="10">
        <v>2.0</v>
      </c>
    </row>
    <row r="5">
      <c r="A5" s="9" t="s">
        <v>72</v>
      </c>
      <c r="B5" s="10">
        <v>1.63</v>
      </c>
      <c r="C5" s="10">
        <v>1.56</v>
      </c>
      <c r="D5" s="10">
        <v>1.69</v>
      </c>
      <c r="E5" s="10">
        <v>1.62</v>
      </c>
      <c r="F5" s="10">
        <v>2.25</v>
      </c>
      <c r="G5" s="10">
        <v>2.4</v>
      </c>
      <c r="H5" s="10">
        <v>2.29</v>
      </c>
      <c r="I5" s="10">
        <v>2.32</v>
      </c>
    </row>
    <row r="6">
      <c r="A6" s="9" t="s">
        <v>83</v>
      </c>
      <c r="B6" s="10">
        <v>1.0</v>
      </c>
      <c r="C6" s="10">
        <v>1.0</v>
      </c>
      <c r="D6" s="10">
        <v>1.0</v>
      </c>
      <c r="E6" s="10">
        <v>1.0</v>
      </c>
      <c r="F6" s="10">
        <v>2.0</v>
      </c>
      <c r="G6" s="10">
        <v>2.0</v>
      </c>
      <c r="H6" s="10">
        <v>2.0</v>
      </c>
      <c r="I6" s="10">
        <v>2.0</v>
      </c>
    </row>
    <row r="7">
      <c r="A7" s="9" t="s">
        <v>89</v>
      </c>
      <c r="B7" s="10">
        <v>0.889</v>
      </c>
      <c r="C7" s="10">
        <v>0.794</v>
      </c>
      <c r="D7" s="10">
        <v>0.933</v>
      </c>
      <c r="E7" s="10">
        <v>0.813</v>
      </c>
      <c r="F7" s="10">
        <v>1.02</v>
      </c>
      <c r="G7" s="10">
        <v>0.979</v>
      </c>
      <c r="H7" s="10">
        <v>0.918</v>
      </c>
      <c r="I7" s="10">
        <v>1.02</v>
      </c>
    </row>
    <row r="8">
      <c r="A8" s="9" t="s">
        <v>92</v>
      </c>
      <c r="B8" s="10">
        <v>1.0</v>
      </c>
      <c r="C8" s="10">
        <v>1.0</v>
      </c>
      <c r="D8" s="10">
        <v>1.0</v>
      </c>
      <c r="E8" s="10">
        <v>1.0</v>
      </c>
      <c r="F8" s="10">
        <v>1.0</v>
      </c>
      <c r="G8" s="10">
        <v>1.0</v>
      </c>
      <c r="H8" s="10">
        <v>1.0</v>
      </c>
      <c r="I8" s="10">
        <v>1.0</v>
      </c>
    </row>
    <row r="9">
      <c r="A9" s="9" t="s">
        <v>99</v>
      </c>
      <c r="B9" s="10">
        <v>4.0</v>
      </c>
      <c r="C9" s="10">
        <v>4.0</v>
      </c>
      <c r="D9" s="10">
        <v>5.0</v>
      </c>
      <c r="E9" s="10">
        <v>4.0</v>
      </c>
      <c r="F9" s="10">
        <v>5.0</v>
      </c>
      <c r="G9" s="10">
        <v>5.0</v>
      </c>
      <c r="H9" s="10">
        <v>4.0</v>
      </c>
      <c r="I9" s="10">
        <v>5.0</v>
      </c>
    </row>
    <row r="10">
      <c r="A10" s="9" t="s">
        <v>339</v>
      </c>
      <c r="B10" s="10">
        <v>0.711</v>
      </c>
      <c r="C10" s="10">
        <v>0.709</v>
      </c>
      <c r="D10" s="10">
        <v>0.743</v>
      </c>
      <c r="E10" s="10">
        <v>0.741</v>
      </c>
      <c r="F10" s="10">
        <v>0.863</v>
      </c>
      <c r="G10" s="10">
        <v>0.879</v>
      </c>
      <c r="H10" s="10">
        <v>0.876</v>
      </c>
      <c r="I10" s="10">
        <v>0.886</v>
      </c>
    </row>
    <row r="11">
      <c r="A11" s="18" t="s">
        <v>341</v>
      </c>
      <c r="B11" s="19" t="s">
        <v>65</v>
      </c>
      <c r="C11" s="19" t="s">
        <v>65</v>
      </c>
      <c r="D11" s="19" t="s">
        <v>65</v>
      </c>
      <c r="E11" s="19" t="s">
        <v>65</v>
      </c>
      <c r="F11" s="19" t="s">
        <v>65</v>
      </c>
      <c r="G11" s="19" t="s">
        <v>65</v>
      </c>
      <c r="H11" s="19" t="s">
        <v>65</v>
      </c>
      <c r="I11" s="19" t="s">
        <v>65</v>
      </c>
    </row>
    <row r="13">
      <c r="A13" s="24" t="s">
        <v>343</v>
      </c>
      <c r="B13" s="5"/>
      <c r="C13" s="5"/>
      <c r="D13" s="5"/>
      <c r="E13" s="5"/>
    </row>
    <row r="14">
      <c r="A14" s="7"/>
      <c r="B14" s="7"/>
      <c r="C14" s="7"/>
      <c r="D14" s="8" t="s">
        <v>205</v>
      </c>
      <c r="E14" s="8" t="s">
        <v>48</v>
      </c>
    </row>
    <row r="15">
      <c r="A15" s="9" t="s">
        <v>13</v>
      </c>
      <c r="B15" s="9" t="s">
        <v>68</v>
      </c>
      <c r="C15" s="9" t="s">
        <v>214</v>
      </c>
      <c r="D15" s="10" t="s">
        <v>346</v>
      </c>
      <c r="E15" s="10" t="s">
        <v>65</v>
      </c>
    </row>
    <row r="16">
      <c r="A16" s="9" t="s">
        <v>35</v>
      </c>
      <c r="B16" s="9" t="s">
        <v>71</v>
      </c>
      <c r="C16" s="9" t="s">
        <v>214</v>
      </c>
      <c r="D16" s="10" t="s">
        <v>347</v>
      </c>
      <c r="E16" s="10" t="s">
        <v>65</v>
      </c>
    </row>
    <row r="17">
      <c r="A17" s="9" t="s">
        <v>51</v>
      </c>
      <c r="B17" s="9" t="s">
        <v>76</v>
      </c>
      <c r="C17" s="9" t="s">
        <v>214</v>
      </c>
      <c r="D17" s="10" t="s">
        <v>348</v>
      </c>
      <c r="E17" s="10" t="s">
        <v>65</v>
      </c>
    </row>
    <row r="18">
      <c r="A18" s="18" t="s">
        <v>62</v>
      </c>
      <c r="B18" s="18" t="s">
        <v>88</v>
      </c>
      <c r="C18" s="18" t="s">
        <v>214</v>
      </c>
      <c r="D18" s="19" t="s">
        <v>349</v>
      </c>
      <c r="E18" s="19" t="s">
        <v>65</v>
      </c>
    </row>
  </sheetData>
  <mergeCells count="2">
    <mergeCell ref="A1:I1"/>
    <mergeCell ref="A13:E1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30.63"/>
  </cols>
  <sheetData>
    <row r="1">
      <c r="A1" s="41" t="s">
        <v>395</v>
      </c>
      <c r="B1" s="42"/>
      <c r="C1" s="42"/>
      <c r="D1" s="43"/>
      <c r="E1" s="43"/>
    </row>
    <row r="2">
      <c r="A2" s="41" t="s">
        <v>397</v>
      </c>
      <c r="B2" s="42"/>
      <c r="C2" s="42"/>
      <c r="D2" s="43"/>
      <c r="E2" s="43"/>
    </row>
    <row r="3">
      <c r="A3" s="41" t="s">
        <v>399</v>
      </c>
      <c r="B3" s="42"/>
      <c r="C3" s="42"/>
      <c r="D3" s="43"/>
      <c r="E3" s="43"/>
    </row>
    <row r="4">
      <c r="A4" s="41" t="s">
        <v>400</v>
      </c>
      <c r="B4" s="42"/>
      <c r="C4" s="42"/>
      <c r="D4" s="43"/>
      <c r="E4" s="43"/>
    </row>
    <row r="5">
      <c r="A5" s="41" t="s">
        <v>402</v>
      </c>
      <c r="B5" s="42"/>
      <c r="C5" s="42"/>
      <c r="D5" s="43"/>
      <c r="E5" s="43"/>
    </row>
    <row r="6">
      <c r="A6" s="41" t="s">
        <v>404</v>
      </c>
      <c r="B6" s="42"/>
      <c r="C6" s="42"/>
      <c r="D6" s="43"/>
      <c r="E6" s="43"/>
    </row>
    <row r="7">
      <c r="A7" s="41" t="s">
        <v>406</v>
      </c>
      <c r="B7" s="42"/>
      <c r="C7" s="42"/>
      <c r="D7" s="43"/>
      <c r="E7" s="43"/>
    </row>
    <row r="8">
      <c r="A8" s="41" t="s">
        <v>409</v>
      </c>
      <c r="B8" s="42"/>
      <c r="C8" s="42"/>
      <c r="D8" s="43"/>
      <c r="E8" s="43"/>
    </row>
    <row r="9">
      <c r="A9" s="41" t="s">
        <v>411</v>
      </c>
      <c r="B9" s="42"/>
      <c r="C9" s="42"/>
      <c r="D9" s="43"/>
      <c r="E9" s="43"/>
    </row>
    <row r="10">
      <c r="A10" s="41" t="s">
        <v>413</v>
      </c>
      <c r="B10" s="42"/>
      <c r="C10" s="42"/>
      <c r="D10" s="43"/>
      <c r="E10" s="43"/>
    </row>
    <row r="11">
      <c r="A11" s="41" t="s">
        <v>415</v>
      </c>
      <c r="B11" s="42"/>
      <c r="C11" s="42"/>
      <c r="D11" s="43"/>
      <c r="E11" s="43"/>
    </row>
    <row r="12">
      <c r="A12" s="44"/>
      <c r="B12" s="42"/>
      <c r="C12" s="42"/>
      <c r="D12" s="43"/>
      <c r="E12" s="43"/>
    </row>
    <row r="17">
      <c r="A17" s="45"/>
      <c r="B17" s="45"/>
      <c r="C17" s="45"/>
      <c r="D17" s="45"/>
    </row>
    <row r="18">
      <c r="A18" s="45"/>
      <c r="B18" s="45"/>
      <c r="C18" s="45"/>
      <c r="D18" s="45"/>
    </row>
    <row r="19">
      <c r="A19" s="45"/>
      <c r="B19" s="45"/>
      <c r="C19" s="45"/>
      <c r="D19" s="45"/>
    </row>
    <row r="20">
      <c r="A20" s="45"/>
      <c r="B20" s="45"/>
      <c r="C20" s="45"/>
      <c r="D20" s="45"/>
    </row>
    <row r="21">
      <c r="A21" s="45"/>
      <c r="B21" s="45"/>
      <c r="C21" s="45"/>
      <c r="D21" s="45"/>
    </row>
    <row r="22">
      <c r="A22" s="45"/>
      <c r="B22" s="45"/>
      <c r="C22" s="45"/>
      <c r="D22" s="45"/>
    </row>
    <row r="23">
      <c r="A23" s="45"/>
      <c r="B23" s="45"/>
      <c r="C23" s="46"/>
      <c r="D23" s="4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7" max="7" width="10.38"/>
    <col customWidth="1" min="8" max="8" width="16.0"/>
    <col customWidth="1" min="9" max="9" width="3.0"/>
    <col customWidth="1" min="11" max="11" width="5.25"/>
  </cols>
  <sheetData>
    <row r="1">
      <c r="A1" s="1"/>
      <c r="B1" s="1" t="s">
        <v>505</v>
      </c>
      <c r="C1" s="1" t="s">
        <v>507</v>
      </c>
      <c r="D1" s="1" t="s">
        <v>509</v>
      </c>
      <c r="E1" s="1" t="s">
        <v>510</v>
      </c>
      <c r="F1" s="1" t="s">
        <v>511</v>
      </c>
      <c r="G1" s="1" t="s">
        <v>66</v>
      </c>
      <c r="H1" s="1" t="s">
        <v>512</v>
      </c>
      <c r="I1" s="1" t="s">
        <v>70</v>
      </c>
      <c r="J1" s="1" t="s">
        <v>513</v>
      </c>
      <c r="K1" s="1" t="s">
        <v>74</v>
      </c>
      <c r="L1" s="1" t="s">
        <v>514</v>
      </c>
      <c r="M1" s="1" t="s">
        <v>87</v>
      </c>
      <c r="N1" s="1" t="s">
        <v>515</v>
      </c>
    </row>
    <row r="2">
      <c r="A2" s="17" t="s">
        <v>90</v>
      </c>
      <c r="B2" s="17"/>
      <c r="C2" s="17"/>
      <c r="D2" s="17"/>
      <c r="E2" s="17"/>
      <c r="F2" s="17"/>
      <c r="G2" s="17" t="s">
        <v>160</v>
      </c>
      <c r="H2" s="17"/>
      <c r="I2" s="17" t="s">
        <v>173</v>
      </c>
      <c r="J2" s="17"/>
      <c r="K2" s="17" t="s">
        <v>186</v>
      </c>
      <c r="L2" s="17"/>
      <c r="M2" s="17" t="s">
        <v>199</v>
      </c>
      <c r="N2" s="1"/>
    </row>
    <row r="3">
      <c r="A3" s="11">
        <v>15.0</v>
      </c>
      <c r="B3" s="13" t="s">
        <v>516</v>
      </c>
      <c r="C3" s="13" t="s">
        <v>517</v>
      </c>
      <c r="D3" s="13" t="s">
        <v>519</v>
      </c>
      <c r="E3" s="13" t="s">
        <v>517</v>
      </c>
      <c r="F3" s="13" t="s">
        <v>516</v>
      </c>
      <c r="G3" s="13" t="s">
        <v>237</v>
      </c>
      <c r="H3" s="13" t="s">
        <v>520</v>
      </c>
      <c r="I3" s="13" t="s">
        <v>249</v>
      </c>
      <c r="J3" s="13" t="s">
        <v>521</v>
      </c>
      <c r="K3" s="13" t="s">
        <v>250</v>
      </c>
      <c r="L3" s="13" t="s">
        <v>522</v>
      </c>
      <c r="M3" s="13" t="s">
        <v>251</v>
      </c>
      <c r="N3" s="50" t="s">
        <v>523</v>
      </c>
    </row>
    <row r="4">
      <c r="A4" s="11">
        <v>17.0</v>
      </c>
      <c r="B4" s="13" t="s">
        <v>517</v>
      </c>
      <c r="C4" s="13" t="s">
        <v>517</v>
      </c>
      <c r="D4" s="13" t="s">
        <v>517</v>
      </c>
      <c r="E4" s="13" t="s">
        <v>517</v>
      </c>
      <c r="F4" s="13" t="s">
        <v>517</v>
      </c>
      <c r="G4" s="13" t="s">
        <v>268</v>
      </c>
      <c r="H4" s="13" t="s">
        <v>517</v>
      </c>
      <c r="I4" s="13" t="s">
        <v>270</v>
      </c>
      <c r="J4" s="13" t="s">
        <v>517</v>
      </c>
      <c r="K4" s="13" t="s">
        <v>273</v>
      </c>
      <c r="L4" s="51" t="s">
        <v>525</v>
      </c>
      <c r="M4" s="13" t="s">
        <v>275</v>
      </c>
      <c r="N4" s="50" t="s">
        <v>517</v>
      </c>
    </row>
    <row r="5">
      <c r="A5" s="11">
        <v>18.0</v>
      </c>
      <c r="B5" s="13" t="s">
        <v>517</v>
      </c>
      <c r="C5" s="13" t="s">
        <v>517</v>
      </c>
      <c r="D5" s="13" t="s">
        <v>517</v>
      </c>
      <c r="E5" s="13" t="s">
        <v>517</v>
      </c>
      <c r="F5" s="13" t="s">
        <v>517</v>
      </c>
      <c r="G5" s="13" t="s">
        <v>286</v>
      </c>
      <c r="H5" s="13" t="s">
        <v>521</v>
      </c>
      <c r="I5" s="13" t="s">
        <v>287</v>
      </c>
      <c r="J5" s="13" t="s">
        <v>530</v>
      </c>
      <c r="K5" s="13" t="s">
        <v>288</v>
      </c>
      <c r="L5" s="51" t="s">
        <v>532</v>
      </c>
      <c r="M5" s="13" t="s">
        <v>289</v>
      </c>
      <c r="N5" s="50" t="s">
        <v>523</v>
      </c>
    </row>
    <row r="6">
      <c r="A6" s="11">
        <v>20.0</v>
      </c>
      <c r="B6" s="13" t="s">
        <v>516</v>
      </c>
      <c r="C6" s="13" t="s">
        <v>517</v>
      </c>
      <c r="D6" s="13" t="s">
        <v>517</v>
      </c>
      <c r="E6" s="13" t="s">
        <v>517</v>
      </c>
      <c r="F6" s="13" t="s">
        <v>517</v>
      </c>
      <c r="G6" s="13" t="s">
        <v>295</v>
      </c>
      <c r="H6" s="13" t="s">
        <v>536</v>
      </c>
      <c r="I6" s="13" t="s">
        <v>296</v>
      </c>
      <c r="J6" s="13" t="s">
        <v>521</v>
      </c>
      <c r="K6" s="13" t="s">
        <v>297</v>
      </c>
      <c r="L6" s="13" t="s">
        <v>521</v>
      </c>
      <c r="M6" s="13" t="s">
        <v>298</v>
      </c>
      <c r="N6" s="50" t="s">
        <v>536</v>
      </c>
    </row>
    <row r="7">
      <c r="A7" s="11">
        <v>21.0</v>
      </c>
      <c r="B7" s="13" t="s">
        <v>517</v>
      </c>
      <c r="C7" s="13" t="s">
        <v>517</v>
      </c>
      <c r="D7" s="13" t="s">
        <v>517</v>
      </c>
      <c r="E7" s="13" t="s">
        <v>516</v>
      </c>
      <c r="F7" s="13" t="s">
        <v>517</v>
      </c>
      <c r="G7" s="13" t="s">
        <v>304</v>
      </c>
      <c r="H7" s="13" t="s">
        <v>521</v>
      </c>
      <c r="I7" s="13" t="s">
        <v>305</v>
      </c>
      <c r="J7" s="13" t="s">
        <v>521</v>
      </c>
      <c r="K7" s="13" t="s">
        <v>306</v>
      </c>
      <c r="L7" s="13" t="s">
        <v>522</v>
      </c>
      <c r="M7" s="13" t="s">
        <v>307</v>
      </c>
      <c r="N7" s="50" t="s">
        <v>540</v>
      </c>
    </row>
    <row r="8">
      <c r="A8" s="11">
        <v>22.0</v>
      </c>
      <c r="B8" s="13" t="s">
        <v>517</v>
      </c>
      <c r="C8" s="13" t="s">
        <v>517</v>
      </c>
      <c r="D8" s="13" t="s">
        <v>517</v>
      </c>
      <c r="E8" s="13" t="s">
        <v>516</v>
      </c>
      <c r="F8" s="13" t="s">
        <v>517</v>
      </c>
      <c r="G8" s="13" t="s">
        <v>312</v>
      </c>
      <c r="H8" s="13" t="s">
        <v>522</v>
      </c>
      <c r="I8" s="13" t="s">
        <v>313</v>
      </c>
      <c r="J8" s="13" t="s">
        <v>521</v>
      </c>
      <c r="K8" s="13" t="s">
        <v>314</v>
      </c>
      <c r="L8" s="13" t="s">
        <v>536</v>
      </c>
      <c r="M8" s="13" t="s">
        <v>315</v>
      </c>
      <c r="N8" s="50" t="s">
        <v>543</v>
      </c>
    </row>
    <row r="9">
      <c r="A9" s="11">
        <v>23.0</v>
      </c>
      <c r="B9" s="13" t="s">
        <v>517</v>
      </c>
      <c r="C9" s="13" t="s">
        <v>517</v>
      </c>
      <c r="D9" s="13" t="s">
        <v>517</v>
      </c>
      <c r="E9" s="13" t="s">
        <v>517</v>
      </c>
      <c r="F9" s="13" t="s">
        <v>517</v>
      </c>
      <c r="G9" s="13" t="s">
        <v>318</v>
      </c>
      <c r="H9" s="13" t="s">
        <v>536</v>
      </c>
      <c r="I9" s="33"/>
      <c r="J9" s="13" t="s">
        <v>530</v>
      </c>
      <c r="K9" s="13" t="s">
        <v>319</v>
      </c>
      <c r="L9" s="13" t="s">
        <v>536</v>
      </c>
      <c r="M9" s="13" t="s">
        <v>320</v>
      </c>
      <c r="N9" s="50" t="s">
        <v>536</v>
      </c>
    </row>
    <row r="10">
      <c r="A10" s="11">
        <v>24.0</v>
      </c>
      <c r="B10" s="13" t="s">
        <v>516</v>
      </c>
      <c r="C10" s="13" t="s">
        <v>516</v>
      </c>
      <c r="D10" s="13" t="s">
        <v>516</v>
      </c>
      <c r="E10" s="13" t="s">
        <v>516</v>
      </c>
      <c r="F10" s="13" t="s">
        <v>516</v>
      </c>
      <c r="G10" s="13" t="s">
        <v>326</v>
      </c>
      <c r="H10" s="13" t="s">
        <v>536</v>
      </c>
      <c r="I10" s="13" t="s">
        <v>327</v>
      </c>
      <c r="J10" s="13" t="s">
        <v>550</v>
      </c>
      <c r="K10" s="13" t="s">
        <v>329</v>
      </c>
      <c r="L10" s="13" t="s">
        <v>551</v>
      </c>
      <c r="M10" s="13" t="s">
        <v>330</v>
      </c>
      <c r="N10" s="50" t="s">
        <v>536</v>
      </c>
    </row>
    <row r="11">
      <c r="A11" s="11">
        <v>25.0</v>
      </c>
      <c r="B11" s="13" t="s">
        <v>517</v>
      </c>
      <c r="C11" s="13" t="s">
        <v>517</v>
      </c>
      <c r="D11" s="13" t="s">
        <v>517</v>
      </c>
      <c r="E11" s="13" t="s">
        <v>517</v>
      </c>
      <c r="F11" s="13" t="s">
        <v>517</v>
      </c>
      <c r="G11" s="13" t="s">
        <v>337</v>
      </c>
      <c r="H11" s="13" t="s">
        <v>536</v>
      </c>
      <c r="I11" s="13" t="s">
        <v>338</v>
      </c>
      <c r="J11" s="13" t="s">
        <v>521</v>
      </c>
      <c r="K11" s="13" t="s">
        <v>340</v>
      </c>
      <c r="L11" s="13" t="s">
        <v>536</v>
      </c>
      <c r="M11" s="13" t="s">
        <v>342</v>
      </c>
      <c r="N11" s="50" t="s">
        <v>530</v>
      </c>
    </row>
    <row r="12">
      <c r="A12" s="11">
        <v>26.0</v>
      </c>
      <c r="B12" s="13" t="s">
        <v>517</v>
      </c>
      <c r="C12" s="13" t="s">
        <v>517</v>
      </c>
      <c r="D12" s="13" t="s">
        <v>517</v>
      </c>
      <c r="E12" s="13" t="s">
        <v>517</v>
      </c>
      <c r="F12" s="13" t="s">
        <v>517</v>
      </c>
      <c r="G12" s="13" t="s">
        <v>350</v>
      </c>
      <c r="H12" s="13" t="s">
        <v>523</v>
      </c>
      <c r="I12" s="13" t="s">
        <v>351</v>
      </c>
      <c r="J12" s="13" t="s">
        <v>536</v>
      </c>
      <c r="K12" s="13" t="s">
        <v>352</v>
      </c>
      <c r="L12" s="13" t="s">
        <v>560</v>
      </c>
      <c r="M12" s="13" t="s">
        <v>345</v>
      </c>
      <c r="N12" s="50" t="s">
        <v>523</v>
      </c>
    </row>
    <row r="13">
      <c r="A13" s="11">
        <v>30.0</v>
      </c>
      <c r="B13" s="13" t="s">
        <v>517</v>
      </c>
      <c r="C13" s="13" t="s">
        <v>519</v>
      </c>
      <c r="D13" s="13" t="s">
        <v>519</v>
      </c>
      <c r="E13" s="13" t="s">
        <v>519</v>
      </c>
      <c r="F13" s="13" t="s">
        <v>519</v>
      </c>
      <c r="G13" s="33"/>
      <c r="H13" s="49" t="s">
        <v>530</v>
      </c>
      <c r="I13" s="33"/>
      <c r="J13" s="13" t="s">
        <v>530</v>
      </c>
      <c r="K13" s="13" t="s">
        <v>358</v>
      </c>
      <c r="L13" s="13" t="s">
        <v>521</v>
      </c>
      <c r="M13" s="33"/>
      <c r="N13" s="52" t="s">
        <v>530</v>
      </c>
    </row>
    <row r="14">
      <c r="A14" s="11">
        <v>31.0</v>
      </c>
      <c r="B14" s="13" t="s">
        <v>516</v>
      </c>
      <c r="C14" s="13" t="s">
        <v>516</v>
      </c>
      <c r="D14" s="13" t="s">
        <v>517</v>
      </c>
      <c r="E14" s="13" t="s">
        <v>517</v>
      </c>
      <c r="F14" s="13" t="s">
        <v>517</v>
      </c>
      <c r="G14" s="13" t="s">
        <v>364</v>
      </c>
      <c r="H14" s="13" t="s">
        <v>521</v>
      </c>
      <c r="I14" s="13" t="s">
        <v>365</v>
      </c>
      <c r="J14" s="13" t="s">
        <v>585</v>
      </c>
      <c r="K14" s="13" t="s">
        <v>366</v>
      </c>
      <c r="L14" s="13" t="s">
        <v>585</v>
      </c>
      <c r="M14" s="13" t="s">
        <v>367</v>
      </c>
      <c r="N14" s="50" t="s">
        <v>523</v>
      </c>
    </row>
    <row r="15">
      <c r="A15" s="11">
        <v>34.0</v>
      </c>
      <c r="B15" s="13" t="s">
        <v>592</v>
      </c>
      <c r="C15" s="13" t="s">
        <v>592</v>
      </c>
      <c r="D15" s="13" t="s">
        <v>592</v>
      </c>
      <c r="E15" s="13" t="s">
        <v>517</v>
      </c>
      <c r="F15" s="13" t="s">
        <v>594</v>
      </c>
      <c r="G15" s="13" t="s">
        <v>373</v>
      </c>
      <c r="H15" s="51" t="s">
        <v>597</v>
      </c>
      <c r="I15" s="13" t="s">
        <v>374</v>
      </c>
      <c r="J15" s="51" t="s">
        <v>597</v>
      </c>
      <c r="K15" s="13" t="s">
        <v>375</v>
      </c>
      <c r="L15" s="51" t="s">
        <v>597</v>
      </c>
      <c r="M15" s="13" t="s">
        <v>376</v>
      </c>
      <c r="N15" s="50" t="s">
        <v>530</v>
      </c>
    </row>
    <row r="16">
      <c r="A16" s="11">
        <v>36.0</v>
      </c>
      <c r="B16" s="13" t="s">
        <v>517</v>
      </c>
      <c r="C16" s="13" t="s">
        <v>517</v>
      </c>
      <c r="D16" s="13" t="s">
        <v>517</v>
      </c>
      <c r="E16" s="13" t="s">
        <v>517</v>
      </c>
      <c r="F16" s="13" t="s">
        <v>517</v>
      </c>
      <c r="G16" s="13" t="s">
        <v>380</v>
      </c>
      <c r="H16" s="13" t="s">
        <v>521</v>
      </c>
      <c r="I16" s="13" t="s">
        <v>381</v>
      </c>
      <c r="J16" s="13" t="s">
        <v>521</v>
      </c>
      <c r="K16" s="13" t="s">
        <v>382</v>
      </c>
      <c r="L16" s="13" t="s">
        <v>522</v>
      </c>
      <c r="M16" s="13" t="s">
        <v>383</v>
      </c>
      <c r="N16" s="50" t="s">
        <v>536</v>
      </c>
    </row>
    <row r="17">
      <c r="A17" s="11">
        <v>37.0</v>
      </c>
      <c r="B17" s="13" t="s">
        <v>517</v>
      </c>
      <c r="C17" s="13" t="s">
        <v>517</v>
      </c>
      <c r="D17" s="13" t="s">
        <v>517</v>
      </c>
      <c r="E17" s="13" t="s">
        <v>517</v>
      </c>
      <c r="F17" s="13" t="s">
        <v>517</v>
      </c>
      <c r="G17" s="13" t="s">
        <v>389</v>
      </c>
      <c r="H17" s="13" t="s">
        <v>607</v>
      </c>
      <c r="I17" s="13" t="s">
        <v>390</v>
      </c>
      <c r="J17" s="13" t="s">
        <v>536</v>
      </c>
      <c r="K17" s="13" t="s">
        <v>391</v>
      </c>
      <c r="L17" s="13" t="s">
        <v>536</v>
      </c>
      <c r="M17" s="13" t="s">
        <v>392</v>
      </c>
      <c r="N17" s="50" t="s">
        <v>536</v>
      </c>
    </row>
    <row r="18">
      <c r="A18" s="11">
        <v>38.0</v>
      </c>
      <c r="B18" s="13" t="s">
        <v>517</v>
      </c>
      <c r="C18" s="13" t="s">
        <v>517</v>
      </c>
      <c r="D18" s="13" t="s">
        <v>517</v>
      </c>
      <c r="E18" s="13" t="s">
        <v>517</v>
      </c>
      <c r="F18" s="13" t="s">
        <v>517</v>
      </c>
      <c r="G18" s="13" t="s">
        <v>398</v>
      </c>
      <c r="H18" s="49" t="s">
        <v>521</v>
      </c>
      <c r="I18" s="33"/>
      <c r="J18" s="13" t="s">
        <v>530</v>
      </c>
      <c r="K18" s="13" t="s">
        <v>401</v>
      </c>
      <c r="L18" s="13" t="s">
        <v>521</v>
      </c>
      <c r="M18" s="13" t="s">
        <v>403</v>
      </c>
      <c r="N18" s="50" t="s">
        <v>523</v>
      </c>
    </row>
    <row r="19">
      <c r="A19" s="11">
        <v>39.0</v>
      </c>
      <c r="B19" s="13" t="s">
        <v>517</v>
      </c>
      <c r="C19" s="13" t="s">
        <v>517</v>
      </c>
      <c r="D19" s="13" t="s">
        <v>517</v>
      </c>
      <c r="E19" s="13" t="s">
        <v>516</v>
      </c>
      <c r="F19" s="13" t="s">
        <v>516</v>
      </c>
      <c r="G19" s="13" t="s">
        <v>414</v>
      </c>
      <c r="H19" s="13" t="s">
        <v>521</v>
      </c>
      <c r="I19" s="13" t="s">
        <v>416</v>
      </c>
      <c r="J19" s="13" t="s">
        <v>536</v>
      </c>
      <c r="K19" s="13" t="s">
        <v>417</v>
      </c>
      <c r="L19" s="13" t="s">
        <v>521</v>
      </c>
      <c r="M19" s="13" t="s">
        <v>418</v>
      </c>
      <c r="N19" s="50" t="s">
        <v>523</v>
      </c>
    </row>
    <row r="20">
      <c r="A20" s="11">
        <v>40.0</v>
      </c>
      <c r="B20" s="13" t="s">
        <v>517</v>
      </c>
      <c r="C20" s="13" t="s">
        <v>517</v>
      </c>
      <c r="D20" s="13" t="s">
        <v>517</v>
      </c>
      <c r="E20" s="13" t="s">
        <v>517</v>
      </c>
      <c r="F20" s="13" t="s">
        <v>517</v>
      </c>
      <c r="G20" s="13" t="s">
        <v>423</v>
      </c>
      <c r="H20" s="13" t="s">
        <v>523</v>
      </c>
      <c r="I20" s="13" t="s">
        <v>424</v>
      </c>
      <c r="J20" s="13" t="s">
        <v>521</v>
      </c>
      <c r="K20" s="13" t="s">
        <v>425</v>
      </c>
      <c r="L20" s="13" t="s">
        <v>536</v>
      </c>
      <c r="M20" s="13" t="s">
        <v>423</v>
      </c>
      <c r="N20" s="50" t="s">
        <v>523</v>
      </c>
    </row>
    <row r="21">
      <c r="A21" s="11">
        <v>41.0</v>
      </c>
      <c r="B21" s="13" t="s">
        <v>516</v>
      </c>
      <c r="C21" s="13" t="s">
        <v>517</v>
      </c>
      <c r="D21" s="13" t="s">
        <v>517</v>
      </c>
      <c r="E21" s="13" t="s">
        <v>517</v>
      </c>
      <c r="F21" s="13" t="s">
        <v>517</v>
      </c>
      <c r="G21" s="13" t="s">
        <v>431</v>
      </c>
      <c r="H21" s="13" t="s">
        <v>521</v>
      </c>
      <c r="I21" s="13" t="s">
        <v>433</v>
      </c>
      <c r="J21" s="13" t="s">
        <v>521</v>
      </c>
      <c r="K21" s="13" t="s">
        <v>435</v>
      </c>
      <c r="L21" s="51" t="s">
        <v>597</v>
      </c>
      <c r="M21" s="13" t="s">
        <v>438</v>
      </c>
      <c r="N21" s="50" t="s">
        <v>519</v>
      </c>
    </row>
    <row r="22">
      <c r="A22" s="11">
        <v>47.0</v>
      </c>
      <c r="B22" s="13" t="s">
        <v>517</v>
      </c>
      <c r="C22" s="13" t="s">
        <v>517</v>
      </c>
      <c r="D22" s="13" t="s">
        <v>517</v>
      </c>
      <c r="E22" s="13" t="s">
        <v>517</v>
      </c>
      <c r="F22" s="13" t="s">
        <v>517</v>
      </c>
      <c r="G22" s="13" t="s">
        <v>448</v>
      </c>
      <c r="H22" s="6" t="s">
        <v>639</v>
      </c>
      <c r="I22" s="13" t="s">
        <v>449</v>
      </c>
      <c r="J22" s="13" t="s">
        <v>641</v>
      </c>
      <c r="K22" s="13" t="s">
        <v>450</v>
      </c>
      <c r="L22" s="13" t="s">
        <v>536</v>
      </c>
      <c r="M22" s="13" t="s">
        <v>451</v>
      </c>
      <c r="N22" s="50" t="s">
        <v>643</v>
      </c>
    </row>
    <row r="23">
      <c r="A23" s="11">
        <v>49.0</v>
      </c>
      <c r="B23" s="13" t="s">
        <v>517</v>
      </c>
      <c r="C23" s="13" t="s">
        <v>517</v>
      </c>
      <c r="D23" s="13" t="s">
        <v>517</v>
      </c>
      <c r="E23" s="13" t="s">
        <v>517</v>
      </c>
      <c r="F23" s="13" t="s">
        <v>517</v>
      </c>
      <c r="G23" s="13" t="s">
        <v>457</v>
      </c>
      <c r="H23" s="13" t="s">
        <v>517</v>
      </c>
      <c r="I23" s="13" t="s">
        <v>458</v>
      </c>
      <c r="J23" s="13" t="s">
        <v>522</v>
      </c>
      <c r="K23" s="13" t="s">
        <v>459</v>
      </c>
      <c r="L23" s="13" t="s">
        <v>536</v>
      </c>
      <c r="M23" s="13" t="s">
        <v>460</v>
      </c>
      <c r="N23" s="50" t="s">
        <v>536</v>
      </c>
    </row>
    <row r="24">
      <c r="A24" s="11">
        <v>50.0</v>
      </c>
      <c r="B24" s="13" t="s">
        <v>517</v>
      </c>
      <c r="C24" s="13" t="s">
        <v>517</v>
      </c>
      <c r="D24" s="13" t="s">
        <v>517</v>
      </c>
      <c r="E24" s="13" t="s">
        <v>517</v>
      </c>
      <c r="F24" s="13" t="s">
        <v>517</v>
      </c>
      <c r="G24" s="13" t="s">
        <v>464</v>
      </c>
      <c r="H24" s="13" t="s">
        <v>521</v>
      </c>
      <c r="I24" s="13" t="s">
        <v>465</v>
      </c>
      <c r="J24" s="13" t="s">
        <v>641</v>
      </c>
      <c r="K24" s="13" t="s">
        <v>466</v>
      </c>
      <c r="L24" s="13" t="s">
        <v>536</v>
      </c>
      <c r="M24" s="13" t="s">
        <v>467</v>
      </c>
      <c r="N24" s="50" t="s">
        <v>536</v>
      </c>
    </row>
    <row r="25">
      <c r="A25" s="11">
        <v>53.0</v>
      </c>
      <c r="B25" s="13" t="s">
        <v>517</v>
      </c>
      <c r="C25" s="13" t="s">
        <v>517</v>
      </c>
      <c r="D25" s="13" t="s">
        <v>517</v>
      </c>
      <c r="E25" s="13" t="s">
        <v>517</v>
      </c>
      <c r="F25" s="13" t="s">
        <v>517</v>
      </c>
      <c r="G25" s="13" t="s">
        <v>473</v>
      </c>
      <c r="H25" s="13" t="s">
        <v>521</v>
      </c>
      <c r="I25" s="13" t="s">
        <v>474</v>
      </c>
      <c r="J25" s="13" t="s">
        <v>641</v>
      </c>
      <c r="K25" s="13" t="s">
        <v>475</v>
      </c>
      <c r="L25" s="13" t="s">
        <v>540</v>
      </c>
      <c r="M25" s="13" t="s">
        <v>476</v>
      </c>
      <c r="N25" s="50" t="s">
        <v>540</v>
      </c>
    </row>
    <row r="26">
      <c r="A26" s="11">
        <v>55.0</v>
      </c>
      <c r="B26" s="13" t="s">
        <v>517</v>
      </c>
      <c r="C26" s="13" t="s">
        <v>517</v>
      </c>
      <c r="D26" s="13" t="s">
        <v>517</v>
      </c>
      <c r="E26" s="13" t="s">
        <v>517</v>
      </c>
      <c r="F26" s="13" t="s">
        <v>517</v>
      </c>
      <c r="G26" s="13" t="s">
        <v>482</v>
      </c>
      <c r="H26" s="13" t="s">
        <v>560</v>
      </c>
      <c r="I26" s="13" t="s">
        <v>483</v>
      </c>
      <c r="J26" s="13" t="s">
        <v>641</v>
      </c>
      <c r="K26" s="13" t="s">
        <v>484</v>
      </c>
      <c r="L26" s="13" t="s">
        <v>536</v>
      </c>
      <c r="M26" s="13" t="s">
        <v>485</v>
      </c>
      <c r="N26" s="50" t="s">
        <v>536</v>
      </c>
    </row>
    <row r="27">
      <c r="A27" s="11">
        <v>56.0</v>
      </c>
      <c r="B27" s="13" t="s">
        <v>516</v>
      </c>
      <c r="C27" s="13" t="s">
        <v>517</v>
      </c>
      <c r="D27" s="13" t="s">
        <v>663</v>
      </c>
      <c r="E27" s="13" t="s">
        <v>517</v>
      </c>
      <c r="F27" s="13" t="s">
        <v>663</v>
      </c>
      <c r="G27" s="13" t="s">
        <v>491</v>
      </c>
      <c r="H27" s="13" t="s">
        <v>521</v>
      </c>
      <c r="I27" s="13" t="s">
        <v>492</v>
      </c>
      <c r="J27" s="13" t="s">
        <v>666</v>
      </c>
      <c r="K27" s="13" t="s">
        <v>493</v>
      </c>
      <c r="L27" s="13" t="s">
        <v>668</v>
      </c>
      <c r="M27" s="13" t="s">
        <v>494</v>
      </c>
      <c r="N27" s="54" t="s">
        <v>669</v>
      </c>
    </row>
    <row r="28">
      <c r="A28" s="11">
        <v>57.0</v>
      </c>
      <c r="B28" s="13" t="s">
        <v>517</v>
      </c>
      <c r="C28" s="13" t="s">
        <v>517</v>
      </c>
      <c r="D28" s="13" t="s">
        <v>517</v>
      </c>
      <c r="E28" s="13" t="s">
        <v>517</v>
      </c>
      <c r="F28" s="13" t="s">
        <v>517</v>
      </c>
      <c r="G28" s="13" t="s">
        <v>499</v>
      </c>
      <c r="H28" s="13" t="s">
        <v>673</v>
      </c>
      <c r="I28" s="13" t="s">
        <v>500</v>
      </c>
      <c r="J28" s="13" t="s">
        <v>641</v>
      </c>
      <c r="K28" s="13" t="s">
        <v>501</v>
      </c>
      <c r="L28" s="13" t="s">
        <v>668</v>
      </c>
      <c r="M28" s="13" t="s">
        <v>502</v>
      </c>
      <c r="N28" s="50" t="s">
        <v>521</v>
      </c>
    </row>
    <row r="29">
      <c r="A29" s="11">
        <v>60.0</v>
      </c>
      <c r="B29" s="13" t="s">
        <v>516</v>
      </c>
      <c r="C29" s="13" t="s">
        <v>517</v>
      </c>
      <c r="D29" s="13" t="s">
        <v>517</v>
      </c>
      <c r="E29" s="13" t="s">
        <v>516</v>
      </c>
      <c r="F29" s="49" t="s">
        <v>530</v>
      </c>
      <c r="G29" s="33"/>
      <c r="H29" s="49" t="s">
        <v>530</v>
      </c>
      <c r="I29" s="33"/>
      <c r="J29" s="49" t="s">
        <v>530</v>
      </c>
      <c r="K29" s="33"/>
      <c r="L29" s="49" t="s">
        <v>530</v>
      </c>
      <c r="M29" s="33"/>
      <c r="N29" s="52" t="s">
        <v>530</v>
      </c>
    </row>
    <row r="30">
      <c r="A30" s="11">
        <v>63.0</v>
      </c>
      <c r="B30" s="13" t="s">
        <v>517</v>
      </c>
      <c r="C30" s="13" t="s">
        <v>517</v>
      </c>
      <c r="D30" s="13" t="s">
        <v>517</v>
      </c>
      <c r="E30" s="13" t="s">
        <v>517</v>
      </c>
      <c r="F30" s="13" t="s">
        <v>517</v>
      </c>
      <c r="G30" s="13" t="s">
        <v>531</v>
      </c>
      <c r="H30" s="13" t="s">
        <v>682</v>
      </c>
      <c r="I30" s="13" t="s">
        <v>533</v>
      </c>
      <c r="J30" s="13" t="s">
        <v>641</v>
      </c>
      <c r="K30" s="13" t="s">
        <v>534</v>
      </c>
      <c r="L30" s="13" t="s">
        <v>536</v>
      </c>
      <c r="M30" s="13" t="s">
        <v>535</v>
      </c>
      <c r="N30" s="50" t="s">
        <v>536</v>
      </c>
    </row>
    <row r="31">
      <c r="A31" s="11">
        <v>65.0</v>
      </c>
      <c r="B31" s="13" t="s">
        <v>517</v>
      </c>
      <c r="C31" s="13" t="s">
        <v>517</v>
      </c>
      <c r="D31" s="13" t="s">
        <v>517</v>
      </c>
      <c r="E31" s="13" t="s">
        <v>517</v>
      </c>
      <c r="F31" s="13" t="s">
        <v>517</v>
      </c>
      <c r="G31" s="13" t="s">
        <v>542</v>
      </c>
      <c r="H31" s="13" t="s">
        <v>530</v>
      </c>
      <c r="I31" s="13" t="s">
        <v>542</v>
      </c>
      <c r="J31" s="13" t="s">
        <v>530</v>
      </c>
      <c r="K31" s="13" t="s">
        <v>542</v>
      </c>
      <c r="L31" s="13" t="s">
        <v>530</v>
      </c>
      <c r="M31" s="13" t="s">
        <v>544</v>
      </c>
      <c r="N31" s="50" t="s">
        <v>522</v>
      </c>
    </row>
    <row r="32">
      <c r="A32" s="11">
        <v>68.0</v>
      </c>
      <c r="B32" s="13" t="s">
        <v>516</v>
      </c>
      <c r="C32" s="13" t="s">
        <v>517</v>
      </c>
      <c r="D32" s="13" t="s">
        <v>517</v>
      </c>
      <c r="E32" s="13" t="s">
        <v>517</v>
      </c>
      <c r="F32" s="13" t="s">
        <v>517</v>
      </c>
      <c r="G32" s="13" t="s">
        <v>552</v>
      </c>
      <c r="H32" s="13" t="s">
        <v>536</v>
      </c>
      <c r="I32" s="13" t="s">
        <v>553</v>
      </c>
      <c r="J32" s="13" t="s">
        <v>641</v>
      </c>
      <c r="K32" s="13" t="s">
        <v>554</v>
      </c>
      <c r="L32" s="13" t="s">
        <v>521</v>
      </c>
      <c r="M32" s="13" t="s">
        <v>555</v>
      </c>
      <c r="N32" s="50" t="s">
        <v>536</v>
      </c>
    </row>
    <row r="33">
      <c r="A33" s="11">
        <v>74.0</v>
      </c>
      <c r="B33" s="13" t="s">
        <v>516</v>
      </c>
      <c r="C33" s="13" t="s">
        <v>693</v>
      </c>
      <c r="D33" s="13" t="s">
        <v>695</v>
      </c>
      <c r="E33" s="13" t="s">
        <v>517</v>
      </c>
      <c r="F33" s="13" t="s">
        <v>696</v>
      </c>
      <c r="G33" s="13" t="s">
        <v>562</v>
      </c>
      <c r="H33" s="13" t="s">
        <v>698</v>
      </c>
      <c r="I33" s="13" t="s">
        <v>563</v>
      </c>
      <c r="J33" s="13" t="s">
        <v>521</v>
      </c>
      <c r="K33" s="13" t="s">
        <v>564</v>
      </c>
      <c r="L33" s="13" t="s">
        <v>536</v>
      </c>
      <c r="M33" s="13" t="s">
        <v>566</v>
      </c>
      <c r="N33" s="50" t="s">
        <v>540</v>
      </c>
    </row>
    <row r="34">
      <c r="A34" s="11">
        <v>76.0</v>
      </c>
      <c r="B34" s="13" t="s">
        <v>517</v>
      </c>
      <c r="C34" s="13" t="s">
        <v>517</v>
      </c>
      <c r="D34" s="13" t="s">
        <v>517</v>
      </c>
      <c r="E34" s="13" t="s">
        <v>517</v>
      </c>
      <c r="F34" s="13" t="s">
        <v>517</v>
      </c>
      <c r="G34" s="13" t="s">
        <v>590</v>
      </c>
      <c r="H34" s="13" t="s">
        <v>521</v>
      </c>
      <c r="I34" s="13" t="s">
        <v>579</v>
      </c>
      <c r="J34" s="13" t="s">
        <v>521</v>
      </c>
      <c r="K34" s="13" t="s">
        <v>595</v>
      </c>
      <c r="L34" s="13" t="s">
        <v>521</v>
      </c>
      <c r="M34" s="13" t="s">
        <v>579</v>
      </c>
      <c r="N34" s="50" t="s">
        <v>521</v>
      </c>
    </row>
    <row r="35">
      <c r="A35" s="11">
        <v>77.0</v>
      </c>
      <c r="B35" s="13" t="s">
        <v>517</v>
      </c>
      <c r="C35" s="13" t="s">
        <v>517</v>
      </c>
      <c r="D35" s="13" t="s">
        <v>517</v>
      </c>
      <c r="E35" s="13" t="s">
        <v>517</v>
      </c>
      <c r="F35" s="13" t="s">
        <v>517</v>
      </c>
      <c r="G35" s="13" t="s">
        <v>605</v>
      </c>
      <c r="H35" s="6" t="s">
        <v>705</v>
      </c>
      <c r="I35" s="13" t="s">
        <v>606</v>
      </c>
      <c r="J35" s="13" t="s">
        <v>706</v>
      </c>
      <c r="K35" s="13" t="s">
        <v>609</v>
      </c>
      <c r="L35" s="13" t="s">
        <v>521</v>
      </c>
      <c r="M35" s="13" t="s">
        <v>612</v>
      </c>
      <c r="N35" s="50" t="s">
        <v>521</v>
      </c>
    </row>
    <row r="36">
      <c r="A36" s="11">
        <v>78.0</v>
      </c>
      <c r="B36" s="13" t="s">
        <v>517</v>
      </c>
      <c r="C36" s="13" t="s">
        <v>517</v>
      </c>
      <c r="D36" s="13" t="s">
        <v>517</v>
      </c>
      <c r="E36" s="13" t="s">
        <v>517</v>
      </c>
      <c r="F36" s="13" t="s">
        <v>517</v>
      </c>
      <c r="G36" s="13" t="s">
        <v>625</v>
      </c>
      <c r="H36" s="13" t="s">
        <v>536</v>
      </c>
      <c r="I36" s="13" t="s">
        <v>626</v>
      </c>
      <c r="J36" s="13" t="s">
        <v>536</v>
      </c>
      <c r="K36" s="13" t="s">
        <v>628</v>
      </c>
      <c r="L36" s="13" t="s">
        <v>536</v>
      </c>
      <c r="M36" s="13" t="s">
        <v>629</v>
      </c>
      <c r="N36" s="50" t="s">
        <v>536</v>
      </c>
    </row>
    <row r="37">
      <c r="A37" s="11">
        <v>79.0</v>
      </c>
      <c r="B37" s="13" t="s">
        <v>517</v>
      </c>
      <c r="C37" s="13" t="s">
        <v>517</v>
      </c>
      <c r="D37" s="13" t="s">
        <v>517</v>
      </c>
      <c r="E37" s="13" t="s">
        <v>517</v>
      </c>
      <c r="F37" s="13" t="s">
        <v>517</v>
      </c>
      <c r="G37" s="13" t="s">
        <v>636</v>
      </c>
      <c r="H37" s="13" t="s">
        <v>536</v>
      </c>
      <c r="I37" s="13" t="s">
        <v>637</v>
      </c>
      <c r="J37" s="13" t="s">
        <v>536</v>
      </c>
      <c r="K37" s="13" t="s">
        <v>637</v>
      </c>
      <c r="L37" s="13" t="s">
        <v>536</v>
      </c>
      <c r="M37" s="13" t="s">
        <v>642</v>
      </c>
      <c r="N37" s="50" t="s">
        <v>536</v>
      </c>
    </row>
    <row r="38">
      <c r="A38" s="11">
        <v>80.0</v>
      </c>
      <c r="B38" s="13" t="s">
        <v>519</v>
      </c>
      <c r="C38" s="13" t="s">
        <v>517</v>
      </c>
      <c r="D38" s="13" t="s">
        <v>519</v>
      </c>
      <c r="E38" s="13" t="s">
        <v>517</v>
      </c>
      <c r="F38" s="13" t="s">
        <v>517</v>
      </c>
      <c r="G38" s="13" t="s">
        <v>649</v>
      </c>
      <c r="H38" s="13" t="s">
        <v>517</v>
      </c>
      <c r="I38" s="13" t="s">
        <v>646</v>
      </c>
      <c r="J38" s="13" t="s">
        <v>517</v>
      </c>
      <c r="K38" s="13" t="s">
        <v>652</v>
      </c>
      <c r="L38" s="13" t="s">
        <v>522</v>
      </c>
      <c r="M38" s="13" t="s">
        <v>654</v>
      </c>
      <c r="N38" s="50" t="s">
        <v>523</v>
      </c>
    </row>
    <row r="39">
      <c r="A39" s="11">
        <v>81.0</v>
      </c>
      <c r="B39" s="13" t="s">
        <v>519</v>
      </c>
      <c r="C39" s="13" t="s">
        <v>517</v>
      </c>
      <c r="D39" s="13" t="s">
        <v>517</v>
      </c>
      <c r="E39" s="13" t="s">
        <v>517</v>
      </c>
      <c r="F39" s="13" t="s">
        <v>517</v>
      </c>
      <c r="G39" s="13" t="s">
        <v>664</v>
      </c>
      <c r="H39" s="13" t="s">
        <v>726</v>
      </c>
      <c r="I39" s="13" t="s">
        <v>667</v>
      </c>
      <c r="J39" s="13" t="s">
        <v>727</v>
      </c>
      <c r="K39" s="13" t="s">
        <v>670</v>
      </c>
      <c r="L39" s="13" t="s">
        <v>730</v>
      </c>
      <c r="M39" s="13" t="s">
        <v>671</v>
      </c>
      <c r="N39" s="50" t="s">
        <v>521</v>
      </c>
    </row>
    <row r="40">
      <c r="A40" s="11">
        <v>82.0</v>
      </c>
      <c r="B40" s="13" t="s">
        <v>693</v>
      </c>
      <c r="C40" s="13" t="s">
        <v>693</v>
      </c>
      <c r="D40" s="13" t="s">
        <v>516</v>
      </c>
      <c r="E40" s="13" t="s">
        <v>517</v>
      </c>
      <c r="F40" s="13" t="s">
        <v>516</v>
      </c>
      <c r="G40" s="13" t="s">
        <v>681</v>
      </c>
      <c r="H40" s="13" t="s">
        <v>585</v>
      </c>
      <c r="I40" s="13" t="s">
        <v>683</v>
      </c>
      <c r="J40" s="13" t="s">
        <v>734</v>
      </c>
      <c r="K40" s="13" t="s">
        <v>685</v>
      </c>
      <c r="L40" s="13" t="s">
        <v>735</v>
      </c>
      <c r="M40" s="13" t="s">
        <v>686</v>
      </c>
      <c r="N40" s="50" t="s">
        <v>530</v>
      </c>
    </row>
    <row r="41">
      <c r="A41" s="11">
        <v>83.0</v>
      </c>
      <c r="B41" s="13" t="s">
        <v>517</v>
      </c>
      <c r="C41" s="13" t="s">
        <v>517</v>
      </c>
      <c r="D41" s="13" t="s">
        <v>517</v>
      </c>
      <c r="E41" s="13" t="s">
        <v>517</v>
      </c>
      <c r="F41" s="13" t="s">
        <v>517</v>
      </c>
      <c r="G41" s="13" t="s">
        <v>699</v>
      </c>
      <c r="H41" s="13" t="s">
        <v>550</v>
      </c>
      <c r="I41" s="13" t="s">
        <v>701</v>
      </c>
      <c r="J41" s="13" t="s">
        <v>521</v>
      </c>
      <c r="K41" s="13" t="s">
        <v>702</v>
      </c>
      <c r="L41" s="13" t="s">
        <v>536</v>
      </c>
      <c r="M41" s="13" t="s">
        <v>704</v>
      </c>
      <c r="N41" s="50" t="s">
        <v>522</v>
      </c>
    </row>
    <row r="42">
      <c r="A42" s="11">
        <v>84.0</v>
      </c>
      <c r="B42" s="13" t="s">
        <v>592</v>
      </c>
      <c r="C42" s="13" t="s">
        <v>517</v>
      </c>
      <c r="D42" s="13" t="s">
        <v>592</v>
      </c>
      <c r="E42" s="13" t="s">
        <v>517</v>
      </c>
      <c r="F42" s="13" t="s">
        <v>517</v>
      </c>
      <c r="G42" s="13" t="s">
        <v>713</v>
      </c>
      <c r="H42" s="13" t="s">
        <v>550</v>
      </c>
      <c r="I42" s="13" t="s">
        <v>714</v>
      </c>
      <c r="J42" s="13" t="s">
        <v>517</v>
      </c>
      <c r="K42" s="13" t="s">
        <v>716</v>
      </c>
      <c r="L42" s="13" t="s">
        <v>522</v>
      </c>
      <c r="M42" s="13" t="s">
        <v>717</v>
      </c>
      <c r="N42" s="50" t="s">
        <v>585</v>
      </c>
    </row>
    <row r="43">
      <c r="A43" s="11">
        <v>87.0</v>
      </c>
      <c r="B43" s="13" t="s">
        <v>516</v>
      </c>
      <c r="C43" s="13" t="s">
        <v>517</v>
      </c>
      <c r="D43" s="13" t="s">
        <v>517</v>
      </c>
      <c r="E43" s="13" t="s">
        <v>516</v>
      </c>
      <c r="F43" s="13" t="s">
        <v>517</v>
      </c>
      <c r="G43" s="13" t="s">
        <v>725</v>
      </c>
      <c r="H43" s="13" t="s">
        <v>517</v>
      </c>
      <c r="I43" s="13" t="s">
        <v>729</v>
      </c>
      <c r="J43" s="13" t="s">
        <v>522</v>
      </c>
      <c r="K43" s="13" t="s">
        <v>731</v>
      </c>
      <c r="L43" s="13" t="s">
        <v>643</v>
      </c>
      <c r="M43" s="13" t="s">
        <v>732</v>
      </c>
      <c r="N43" s="50" t="s">
        <v>750</v>
      </c>
    </row>
    <row r="44">
      <c r="A44" s="11">
        <v>88.0</v>
      </c>
      <c r="B44" s="13" t="s">
        <v>519</v>
      </c>
      <c r="C44" s="13" t="s">
        <v>517</v>
      </c>
      <c r="D44" s="13" t="s">
        <v>517</v>
      </c>
      <c r="E44" s="13" t="s">
        <v>517</v>
      </c>
      <c r="F44" s="13" t="s">
        <v>517</v>
      </c>
      <c r="G44" s="13" t="s">
        <v>744</v>
      </c>
      <c r="H44" s="13" t="s">
        <v>521</v>
      </c>
      <c r="I44" s="13" t="s">
        <v>745</v>
      </c>
      <c r="J44" s="13" t="s">
        <v>536</v>
      </c>
      <c r="K44" s="13" t="s">
        <v>747</v>
      </c>
      <c r="L44" s="13" t="s">
        <v>536</v>
      </c>
      <c r="M44" s="13" t="s">
        <v>748</v>
      </c>
      <c r="N44" s="50" t="s">
        <v>536</v>
      </c>
    </row>
    <row r="45">
      <c r="A45" s="11">
        <v>89.0</v>
      </c>
      <c r="B45" s="13" t="s">
        <v>517</v>
      </c>
      <c r="C45" s="13" t="s">
        <v>517</v>
      </c>
      <c r="D45" s="13" t="s">
        <v>517</v>
      </c>
      <c r="E45" s="13" t="s">
        <v>517</v>
      </c>
      <c r="F45" s="13" t="s">
        <v>517</v>
      </c>
      <c r="G45" s="13" t="s">
        <v>758</v>
      </c>
      <c r="H45" s="13" t="s">
        <v>521</v>
      </c>
      <c r="I45" s="13" t="s">
        <v>759</v>
      </c>
      <c r="J45" s="13" t="s">
        <v>521</v>
      </c>
      <c r="K45" s="13" t="s">
        <v>760</v>
      </c>
      <c r="L45" s="13" t="s">
        <v>536</v>
      </c>
      <c r="M45" s="13" t="s">
        <v>761</v>
      </c>
      <c r="N45" s="50" t="s">
        <v>536</v>
      </c>
    </row>
    <row r="46">
      <c r="A46" s="11">
        <v>91.0</v>
      </c>
      <c r="B46" s="13" t="s">
        <v>516</v>
      </c>
      <c r="C46" s="13" t="s">
        <v>517</v>
      </c>
      <c r="D46" s="13" t="s">
        <v>517</v>
      </c>
      <c r="E46" s="13" t="s">
        <v>517</v>
      </c>
      <c r="F46" s="13" t="s">
        <v>517</v>
      </c>
      <c r="G46" s="13" t="s">
        <v>762</v>
      </c>
      <c r="H46" s="13" t="s">
        <v>536</v>
      </c>
      <c r="I46" s="13" t="s">
        <v>764</v>
      </c>
      <c r="J46" s="13" t="s">
        <v>536</v>
      </c>
      <c r="K46" s="13" t="s">
        <v>766</v>
      </c>
      <c r="L46" s="13" t="s">
        <v>540</v>
      </c>
      <c r="M46" s="13" t="s">
        <v>767</v>
      </c>
      <c r="N46" s="50" t="s">
        <v>536</v>
      </c>
    </row>
    <row r="47">
      <c r="A47" s="11">
        <v>93.0</v>
      </c>
      <c r="B47" s="13" t="s">
        <v>517</v>
      </c>
      <c r="C47" s="13" t="s">
        <v>517</v>
      </c>
      <c r="D47" s="13" t="s">
        <v>517</v>
      </c>
      <c r="E47" s="13" t="s">
        <v>516</v>
      </c>
      <c r="F47" s="13" t="s">
        <v>516</v>
      </c>
      <c r="G47" s="33"/>
      <c r="H47" s="49" t="s">
        <v>530</v>
      </c>
      <c r="I47" s="33"/>
      <c r="J47" s="49" t="s">
        <v>530</v>
      </c>
      <c r="K47" s="33"/>
      <c r="L47" s="49" t="s">
        <v>530</v>
      </c>
      <c r="M47" s="33"/>
      <c r="N47" s="52" t="s">
        <v>530</v>
      </c>
    </row>
    <row r="48">
      <c r="A48" s="11">
        <v>95.0</v>
      </c>
      <c r="B48" s="13" t="s">
        <v>516</v>
      </c>
      <c r="C48" s="13" t="s">
        <v>517</v>
      </c>
      <c r="D48" s="13" t="s">
        <v>517</v>
      </c>
      <c r="E48" s="13" t="s">
        <v>517</v>
      </c>
      <c r="F48" s="13" t="s">
        <v>517</v>
      </c>
      <c r="G48" s="13" t="s">
        <v>774</v>
      </c>
      <c r="H48" s="13" t="s">
        <v>530</v>
      </c>
      <c r="I48" s="13" t="s">
        <v>776</v>
      </c>
      <c r="J48" s="13" t="s">
        <v>536</v>
      </c>
      <c r="K48" s="13" t="s">
        <v>778</v>
      </c>
      <c r="L48" s="13" t="s">
        <v>540</v>
      </c>
      <c r="M48" s="13" t="s">
        <v>780</v>
      </c>
      <c r="N48" s="50" t="s">
        <v>523</v>
      </c>
    </row>
    <row r="49">
      <c r="A49" s="11">
        <v>97.0</v>
      </c>
      <c r="B49" s="13" t="s">
        <v>693</v>
      </c>
      <c r="C49" s="13" t="s">
        <v>517</v>
      </c>
      <c r="D49" s="13" t="s">
        <v>782</v>
      </c>
      <c r="E49" s="13" t="s">
        <v>516</v>
      </c>
      <c r="F49" s="13" t="s">
        <v>517</v>
      </c>
      <c r="G49" s="13" t="s">
        <v>785</v>
      </c>
      <c r="H49" s="13" t="s">
        <v>522</v>
      </c>
      <c r="I49" s="13" t="s">
        <v>786</v>
      </c>
      <c r="J49" s="13" t="s">
        <v>522</v>
      </c>
      <c r="K49" s="13" t="s">
        <v>788</v>
      </c>
      <c r="L49" s="13" t="s">
        <v>536</v>
      </c>
      <c r="M49" s="13" t="s">
        <v>789</v>
      </c>
      <c r="N49" s="50" t="s">
        <v>522</v>
      </c>
    </row>
    <row r="50">
      <c r="A50" s="11">
        <v>99.0</v>
      </c>
      <c r="B50" s="13" t="s">
        <v>519</v>
      </c>
      <c r="C50" s="13" t="s">
        <v>517</v>
      </c>
      <c r="D50" s="13" t="s">
        <v>517</v>
      </c>
      <c r="E50" s="13" t="s">
        <v>517</v>
      </c>
      <c r="F50" s="13" t="s">
        <v>517</v>
      </c>
      <c r="G50" s="13" t="s">
        <v>790</v>
      </c>
      <c r="H50" s="13" t="s">
        <v>521</v>
      </c>
      <c r="I50" s="13" t="s">
        <v>791</v>
      </c>
      <c r="J50" s="13" t="s">
        <v>521</v>
      </c>
      <c r="K50" s="13" t="s">
        <v>792</v>
      </c>
      <c r="L50" s="13" t="s">
        <v>793</v>
      </c>
      <c r="M50" s="13" t="s">
        <v>794</v>
      </c>
      <c r="N50" s="50" t="s">
        <v>536</v>
      </c>
    </row>
    <row r="51">
      <c r="A51" s="11">
        <v>100.0</v>
      </c>
      <c r="B51" s="13" t="s">
        <v>517</v>
      </c>
      <c r="C51" s="13" t="s">
        <v>517</v>
      </c>
      <c r="D51" s="13" t="s">
        <v>517</v>
      </c>
      <c r="E51" s="13" t="s">
        <v>517</v>
      </c>
      <c r="F51" s="13" t="s">
        <v>517</v>
      </c>
      <c r="G51" s="13" t="s">
        <v>796</v>
      </c>
      <c r="H51" s="13" t="s">
        <v>521</v>
      </c>
      <c r="I51" s="13" t="s">
        <v>798</v>
      </c>
      <c r="J51" s="13" t="s">
        <v>536</v>
      </c>
      <c r="K51" s="13" t="s">
        <v>798</v>
      </c>
      <c r="L51" s="13" t="s">
        <v>800</v>
      </c>
      <c r="M51" s="13" t="s">
        <v>801</v>
      </c>
      <c r="N51" s="50" t="s">
        <v>802</v>
      </c>
    </row>
    <row r="52">
      <c r="A52" s="11">
        <v>101.0</v>
      </c>
      <c r="B52" s="13" t="s">
        <v>517</v>
      </c>
      <c r="C52" s="13" t="s">
        <v>517</v>
      </c>
      <c r="D52" s="13" t="s">
        <v>517</v>
      </c>
      <c r="E52" s="13" t="s">
        <v>517</v>
      </c>
      <c r="F52" s="13" t="s">
        <v>519</v>
      </c>
      <c r="G52" s="13" t="s">
        <v>805</v>
      </c>
      <c r="H52" s="13" t="s">
        <v>521</v>
      </c>
      <c r="I52" s="13" t="s">
        <v>805</v>
      </c>
      <c r="J52" s="13" t="s">
        <v>521</v>
      </c>
      <c r="K52" s="13" t="s">
        <v>806</v>
      </c>
      <c r="L52" s="13" t="s">
        <v>536</v>
      </c>
      <c r="M52" s="13" t="s">
        <v>807</v>
      </c>
      <c r="N52" s="50" t="s">
        <v>536</v>
      </c>
    </row>
    <row r="53">
      <c r="A53" s="11">
        <v>104.0</v>
      </c>
      <c r="B53" s="13" t="s">
        <v>517</v>
      </c>
      <c r="C53" s="13" t="s">
        <v>517</v>
      </c>
      <c r="D53" s="13" t="s">
        <v>517</v>
      </c>
      <c r="E53" s="13" t="s">
        <v>517</v>
      </c>
      <c r="F53" s="13" t="s">
        <v>517</v>
      </c>
      <c r="G53" s="13" t="s">
        <v>808</v>
      </c>
      <c r="H53" s="13" t="s">
        <v>550</v>
      </c>
      <c r="I53" s="13" t="s">
        <v>809</v>
      </c>
      <c r="J53" s="13" t="s">
        <v>521</v>
      </c>
      <c r="K53" s="13" t="s">
        <v>808</v>
      </c>
      <c r="L53" s="13" t="s">
        <v>536</v>
      </c>
      <c r="M53" s="13" t="s">
        <v>808</v>
      </c>
      <c r="N53" s="50" t="s">
        <v>536</v>
      </c>
    </row>
    <row r="54">
      <c r="A54" s="11">
        <v>106.0</v>
      </c>
      <c r="B54" s="13" t="s">
        <v>516</v>
      </c>
      <c r="C54" s="13" t="s">
        <v>517</v>
      </c>
      <c r="D54" s="13" t="s">
        <v>517</v>
      </c>
      <c r="E54" s="13" t="s">
        <v>517</v>
      </c>
      <c r="F54" s="13" t="s">
        <v>517</v>
      </c>
      <c r="G54" s="13" t="s">
        <v>810</v>
      </c>
      <c r="H54" s="13" t="s">
        <v>521</v>
      </c>
      <c r="I54" s="13" t="s">
        <v>812</v>
      </c>
      <c r="J54" s="13" t="s">
        <v>522</v>
      </c>
      <c r="K54" s="13" t="s">
        <v>814</v>
      </c>
      <c r="L54" s="13" t="s">
        <v>536</v>
      </c>
      <c r="M54" s="13" t="s">
        <v>815</v>
      </c>
      <c r="N54" s="50" t="s">
        <v>536</v>
      </c>
    </row>
    <row r="55">
      <c r="A55" s="11">
        <v>108.0</v>
      </c>
      <c r="B55" s="13" t="s">
        <v>517</v>
      </c>
      <c r="C55" s="13" t="s">
        <v>517</v>
      </c>
      <c r="D55" s="13" t="s">
        <v>517</v>
      </c>
      <c r="E55" s="13" t="s">
        <v>517</v>
      </c>
      <c r="F55" s="13" t="s">
        <v>517</v>
      </c>
      <c r="G55" s="13" t="s">
        <v>818</v>
      </c>
      <c r="H55" s="13" t="s">
        <v>517</v>
      </c>
      <c r="I55" s="13" t="s">
        <v>819</v>
      </c>
      <c r="J55" s="51" t="s">
        <v>525</v>
      </c>
      <c r="K55" s="13" t="s">
        <v>821</v>
      </c>
      <c r="L55" s="13" t="s">
        <v>517</v>
      </c>
      <c r="M55" s="13" t="s">
        <v>822</v>
      </c>
      <c r="N55" s="50" t="s">
        <v>517</v>
      </c>
    </row>
    <row r="56">
      <c r="A56" s="11">
        <v>109.0</v>
      </c>
      <c r="B56" s="13" t="s">
        <v>517</v>
      </c>
      <c r="C56" s="13" t="s">
        <v>517</v>
      </c>
      <c r="D56" s="13" t="s">
        <v>823</v>
      </c>
      <c r="E56" s="13" t="s">
        <v>517</v>
      </c>
      <c r="F56" s="13" t="s">
        <v>517</v>
      </c>
      <c r="G56" s="13" t="s">
        <v>824</v>
      </c>
      <c r="H56" s="13" t="s">
        <v>521</v>
      </c>
      <c r="I56" s="13" t="s">
        <v>825</v>
      </c>
      <c r="J56" s="13" t="s">
        <v>641</v>
      </c>
      <c r="K56" s="13" t="s">
        <v>826</v>
      </c>
      <c r="L56" s="13" t="s">
        <v>536</v>
      </c>
      <c r="M56" s="13" t="s">
        <v>827</v>
      </c>
      <c r="N56" s="50" t="s">
        <v>536</v>
      </c>
    </row>
    <row r="57">
      <c r="A57" s="11">
        <v>111.0</v>
      </c>
      <c r="B57" s="13" t="s">
        <v>517</v>
      </c>
      <c r="C57" s="13" t="s">
        <v>517</v>
      </c>
      <c r="D57" s="13" t="s">
        <v>517</v>
      </c>
      <c r="E57" s="13" t="s">
        <v>517</v>
      </c>
      <c r="F57" s="13" t="s">
        <v>517</v>
      </c>
      <c r="G57" s="13" t="s">
        <v>828</v>
      </c>
      <c r="H57" s="13" t="s">
        <v>550</v>
      </c>
      <c r="I57" s="13" t="s">
        <v>829</v>
      </c>
      <c r="J57" s="13" t="s">
        <v>641</v>
      </c>
      <c r="K57" s="13" t="s">
        <v>830</v>
      </c>
      <c r="L57" s="13" t="s">
        <v>536</v>
      </c>
      <c r="M57" s="13" t="s">
        <v>831</v>
      </c>
      <c r="N57" s="50" t="s">
        <v>536</v>
      </c>
    </row>
    <row r="58">
      <c r="A58" s="11">
        <v>112.0</v>
      </c>
      <c r="B58" s="13" t="s">
        <v>516</v>
      </c>
      <c r="C58" s="13" t="s">
        <v>517</v>
      </c>
      <c r="D58" s="13" t="s">
        <v>516</v>
      </c>
      <c r="E58" s="13" t="s">
        <v>516</v>
      </c>
      <c r="F58" s="13" t="s">
        <v>517</v>
      </c>
      <c r="G58" s="13" t="s">
        <v>833</v>
      </c>
      <c r="H58" s="13" t="s">
        <v>835</v>
      </c>
      <c r="I58" s="13" t="s">
        <v>836</v>
      </c>
      <c r="J58" s="13" t="s">
        <v>641</v>
      </c>
      <c r="K58" s="13" t="s">
        <v>838</v>
      </c>
      <c r="L58" s="13" t="s">
        <v>522</v>
      </c>
      <c r="M58" s="13" t="s">
        <v>839</v>
      </c>
      <c r="N58" s="50" t="s">
        <v>840</v>
      </c>
    </row>
    <row r="59">
      <c r="A59" s="11">
        <v>113.0</v>
      </c>
      <c r="B59" s="13" t="s">
        <v>516</v>
      </c>
      <c r="C59" s="13" t="s">
        <v>517</v>
      </c>
      <c r="D59" s="13" t="s">
        <v>517</v>
      </c>
      <c r="E59" s="13" t="s">
        <v>517</v>
      </c>
      <c r="F59" s="13" t="s">
        <v>517</v>
      </c>
      <c r="G59" s="13" t="s">
        <v>843</v>
      </c>
      <c r="H59" s="13" t="s">
        <v>844</v>
      </c>
      <c r="I59" s="13" t="s">
        <v>845</v>
      </c>
      <c r="J59" s="13" t="s">
        <v>517</v>
      </c>
      <c r="K59" s="13" t="s">
        <v>846</v>
      </c>
      <c r="L59" s="13" t="s">
        <v>847</v>
      </c>
      <c r="M59" s="13" t="s">
        <v>848</v>
      </c>
      <c r="N59" s="50" t="s">
        <v>517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5" max="5" width="16.88"/>
  </cols>
  <sheetData>
    <row r="1">
      <c r="A1" s="17" t="s">
        <v>90</v>
      </c>
      <c r="B1" s="17" t="s">
        <v>565</v>
      </c>
      <c r="C1" s="17" t="s">
        <v>567</v>
      </c>
      <c r="D1" s="17" t="s">
        <v>568</v>
      </c>
      <c r="E1" s="17" t="s">
        <v>569</v>
      </c>
      <c r="F1" s="17" t="s">
        <v>570</v>
      </c>
      <c r="G1" s="17" t="s">
        <v>572</v>
      </c>
      <c r="H1" s="17" t="s">
        <v>573</v>
      </c>
      <c r="I1" s="17" t="s">
        <v>574</v>
      </c>
    </row>
    <row r="2">
      <c r="A2" s="17"/>
      <c r="B2" s="17" t="s">
        <v>576</v>
      </c>
      <c r="C2" s="17" t="s">
        <v>577</v>
      </c>
      <c r="D2" s="17" t="s">
        <v>578</v>
      </c>
      <c r="E2" s="17" t="s">
        <v>580</v>
      </c>
      <c r="F2" s="17" t="s">
        <v>581</v>
      </c>
      <c r="G2" s="17" t="s">
        <v>582</v>
      </c>
      <c r="H2" s="17" t="s">
        <v>583</v>
      </c>
      <c r="I2" s="17" t="s">
        <v>584</v>
      </c>
    </row>
    <row r="3">
      <c r="A3" s="11">
        <v>15.0</v>
      </c>
      <c r="B3" s="13" t="s">
        <v>586</v>
      </c>
      <c r="C3" s="13" t="s">
        <v>587</v>
      </c>
      <c r="D3" s="13" t="s">
        <v>588</v>
      </c>
      <c r="E3" s="13" t="s">
        <v>589</v>
      </c>
      <c r="F3" s="13" t="s">
        <v>589</v>
      </c>
      <c r="G3" s="13" t="s">
        <v>591</v>
      </c>
      <c r="H3" s="13" t="s">
        <v>589</v>
      </c>
      <c r="I3" s="13" t="s">
        <v>591</v>
      </c>
    </row>
    <row r="4">
      <c r="A4" s="11">
        <v>17.0</v>
      </c>
      <c r="B4" s="13" t="s">
        <v>593</v>
      </c>
      <c r="C4" s="13" t="s">
        <v>587</v>
      </c>
      <c r="D4" s="13" t="s">
        <v>596</v>
      </c>
      <c r="E4" s="13" t="s">
        <v>589</v>
      </c>
      <c r="F4" s="13" t="s">
        <v>589</v>
      </c>
      <c r="G4" s="13" t="s">
        <v>591</v>
      </c>
      <c r="H4" s="13" t="s">
        <v>589</v>
      </c>
      <c r="I4" s="13" t="s">
        <v>589</v>
      </c>
    </row>
    <row r="5">
      <c r="A5" s="53">
        <v>18.0</v>
      </c>
      <c r="B5" s="50" t="s">
        <v>598</v>
      </c>
      <c r="C5" s="50" t="s">
        <v>587</v>
      </c>
      <c r="D5" s="50" t="s">
        <v>599</v>
      </c>
      <c r="E5" s="50" t="s">
        <v>591</v>
      </c>
      <c r="F5" s="50" t="s">
        <v>589</v>
      </c>
      <c r="G5" s="50" t="s">
        <v>591</v>
      </c>
      <c r="H5" s="50" t="s">
        <v>589</v>
      </c>
      <c r="I5" s="50" t="s">
        <v>591</v>
      </c>
    </row>
    <row r="6">
      <c r="A6" s="11">
        <v>20.0</v>
      </c>
      <c r="B6" s="13" t="s">
        <v>598</v>
      </c>
      <c r="C6" s="13" t="s">
        <v>587</v>
      </c>
      <c r="D6" s="13" t="s">
        <v>602</v>
      </c>
      <c r="E6" s="13" t="s">
        <v>589</v>
      </c>
      <c r="F6" s="13" t="s">
        <v>589</v>
      </c>
      <c r="G6" s="13" t="s">
        <v>589</v>
      </c>
      <c r="H6" s="13" t="s">
        <v>589</v>
      </c>
      <c r="I6" s="13" t="s">
        <v>591</v>
      </c>
    </row>
    <row r="7">
      <c r="A7" s="11">
        <v>21.0</v>
      </c>
      <c r="B7" s="13" t="s">
        <v>603</v>
      </c>
      <c r="C7" s="13" t="s">
        <v>587</v>
      </c>
      <c r="D7" s="13" t="s">
        <v>604</v>
      </c>
      <c r="E7" s="13" t="s">
        <v>589</v>
      </c>
      <c r="F7" s="13" t="s">
        <v>589</v>
      </c>
      <c r="G7" s="13" t="s">
        <v>589</v>
      </c>
      <c r="H7" s="13" t="s">
        <v>589</v>
      </c>
      <c r="I7" s="13" t="s">
        <v>591</v>
      </c>
    </row>
    <row r="8">
      <c r="A8" s="11">
        <v>22.0</v>
      </c>
      <c r="B8" s="13" t="s">
        <v>608</v>
      </c>
      <c r="C8" s="13" t="s">
        <v>587</v>
      </c>
      <c r="D8" s="13" t="s">
        <v>610</v>
      </c>
      <c r="E8" s="13" t="s">
        <v>591</v>
      </c>
      <c r="F8" s="13" t="s">
        <v>589</v>
      </c>
      <c r="G8" s="13" t="s">
        <v>591</v>
      </c>
      <c r="H8" s="13" t="s">
        <v>589</v>
      </c>
      <c r="I8" s="13" t="s">
        <v>591</v>
      </c>
    </row>
    <row r="9">
      <c r="A9" s="11">
        <v>23.0</v>
      </c>
      <c r="B9" s="13" t="s">
        <v>611</v>
      </c>
      <c r="C9" s="13" t="s">
        <v>613</v>
      </c>
      <c r="D9" s="13" t="s">
        <v>614</v>
      </c>
      <c r="E9" s="13" t="s">
        <v>591</v>
      </c>
      <c r="F9" s="13" t="s">
        <v>589</v>
      </c>
      <c r="G9" s="13" t="s">
        <v>591</v>
      </c>
      <c r="H9" s="13" t="s">
        <v>589</v>
      </c>
      <c r="I9" s="13" t="s">
        <v>591</v>
      </c>
    </row>
    <row r="10">
      <c r="A10" s="11">
        <v>24.0</v>
      </c>
      <c r="B10" s="13" t="s">
        <v>593</v>
      </c>
      <c r="C10" s="13" t="s">
        <v>615</v>
      </c>
      <c r="D10" s="13" t="s">
        <v>616</v>
      </c>
      <c r="E10" s="13" t="s">
        <v>589</v>
      </c>
      <c r="F10" s="13" t="s">
        <v>589</v>
      </c>
      <c r="G10" s="13" t="s">
        <v>591</v>
      </c>
      <c r="H10" s="13" t="s">
        <v>589</v>
      </c>
      <c r="I10" s="13" t="s">
        <v>591</v>
      </c>
    </row>
    <row r="11">
      <c r="A11" s="11">
        <v>25.0</v>
      </c>
      <c r="B11" s="13" t="s">
        <v>611</v>
      </c>
      <c r="C11" s="13" t="s">
        <v>613</v>
      </c>
      <c r="D11" s="13" t="s">
        <v>619</v>
      </c>
      <c r="E11" s="13" t="s">
        <v>591</v>
      </c>
      <c r="F11" s="13" t="s">
        <v>589</v>
      </c>
      <c r="G11" s="13" t="s">
        <v>591</v>
      </c>
      <c r="H11" s="13" t="s">
        <v>589</v>
      </c>
      <c r="I11" s="13" t="s">
        <v>591</v>
      </c>
    </row>
    <row r="12">
      <c r="A12" s="11">
        <v>26.0</v>
      </c>
      <c r="B12" s="13" t="s">
        <v>593</v>
      </c>
      <c r="C12" s="13" t="s">
        <v>621</v>
      </c>
      <c r="D12" s="13" t="s">
        <v>622</v>
      </c>
      <c r="E12" s="13" t="s">
        <v>591</v>
      </c>
      <c r="F12" s="13" t="s">
        <v>589</v>
      </c>
      <c r="G12" s="13" t="s">
        <v>591</v>
      </c>
      <c r="H12" s="13" t="s">
        <v>589</v>
      </c>
      <c r="I12" s="13" t="s">
        <v>591</v>
      </c>
    </row>
    <row r="13">
      <c r="A13" s="11">
        <v>31.0</v>
      </c>
      <c r="B13" s="13" t="s">
        <v>598</v>
      </c>
      <c r="C13" s="13" t="s">
        <v>613</v>
      </c>
      <c r="D13" s="13" t="s">
        <v>624</v>
      </c>
      <c r="E13" s="13" t="s">
        <v>589</v>
      </c>
      <c r="F13" s="13" t="s">
        <v>589</v>
      </c>
      <c r="G13" s="13" t="s">
        <v>589</v>
      </c>
      <c r="H13" s="13" t="s">
        <v>589</v>
      </c>
      <c r="I13" s="13" t="s">
        <v>591</v>
      </c>
    </row>
    <row r="14">
      <c r="A14" s="11">
        <v>34.0</v>
      </c>
      <c r="B14" s="13" t="s">
        <v>593</v>
      </c>
      <c r="C14" s="13" t="s">
        <v>621</v>
      </c>
      <c r="D14" s="13" t="s">
        <v>627</v>
      </c>
      <c r="E14" s="13" t="s">
        <v>591</v>
      </c>
      <c r="F14" s="13" t="s">
        <v>589</v>
      </c>
      <c r="G14" s="13" t="s">
        <v>589</v>
      </c>
      <c r="H14" s="13" t="s">
        <v>589</v>
      </c>
      <c r="I14" s="13" t="s">
        <v>591</v>
      </c>
    </row>
    <row r="15">
      <c r="A15" s="11">
        <v>36.0</v>
      </c>
      <c r="B15" s="13" t="s">
        <v>593</v>
      </c>
      <c r="C15" s="13" t="s">
        <v>621</v>
      </c>
      <c r="D15" s="13" t="s">
        <v>630</v>
      </c>
      <c r="E15" s="13" t="s">
        <v>591</v>
      </c>
      <c r="F15" s="13" t="s">
        <v>589</v>
      </c>
      <c r="G15" s="13" t="s">
        <v>591</v>
      </c>
      <c r="H15" s="13" t="s">
        <v>589</v>
      </c>
      <c r="I15" s="13" t="s">
        <v>591</v>
      </c>
    </row>
    <row r="16">
      <c r="A16" s="11">
        <v>37.0</v>
      </c>
      <c r="B16" s="13" t="s">
        <v>611</v>
      </c>
      <c r="C16" s="13" t="s">
        <v>621</v>
      </c>
      <c r="D16" s="13" t="s">
        <v>633</v>
      </c>
      <c r="E16" s="13" t="s">
        <v>591</v>
      </c>
      <c r="F16" s="13" t="s">
        <v>589</v>
      </c>
      <c r="G16" s="13" t="s">
        <v>591</v>
      </c>
      <c r="H16" s="13" t="s">
        <v>589</v>
      </c>
      <c r="I16" s="13" t="s">
        <v>591</v>
      </c>
    </row>
    <row r="17">
      <c r="A17" s="11">
        <v>38.0</v>
      </c>
      <c r="B17" s="13" t="s">
        <v>593</v>
      </c>
      <c r="C17" s="13" t="s">
        <v>615</v>
      </c>
      <c r="D17" s="13" t="s">
        <v>635</v>
      </c>
      <c r="E17" s="13" t="s">
        <v>591</v>
      </c>
      <c r="F17" s="13" t="s">
        <v>589</v>
      </c>
      <c r="G17" s="13" t="s">
        <v>589</v>
      </c>
      <c r="H17" s="13" t="s">
        <v>589</v>
      </c>
      <c r="I17" s="13" t="s">
        <v>591</v>
      </c>
    </row>
    <row r="18">
      <c r="A18" s="11">
        <v>39.0</v>
      </c>
      <c r="B18" s="13" t="s">
        <v>593</v>
      </c>
      <c r="C18" s="13" t="s">
        <v>621</v>
      </c>
      <c r="D18" s="13" t="s">
        <v>638</v>
      </c>
      <c r="E18" s="13" t="s">
        <v>591</v>
      </c>
      <c r="F18" s="13" t="s">
        <v>589</v>
      </c>
      <c r="G18" s="13" t="s">
        <v>591</v>
      </c>
      <c r="H18" s="13" t="s">
        <v>589</v>
      </c>
      <c r="I18" s="13" t="s">
        <v>591</v>
      </c>
    </row>
    <row r="19">
      <c r="A19" s="11">
        <v>40.0</v>
      </c>
      <c r="B19" s="13" t="s">
        <v>598</v>
      </c>
      <c r="C19" s="13" t="s">
        <v>615</v>
      </c>
      <c r="D19" s="13" t="s">
        <v>640</v>
      </c>
      <c r="E19" s="13" t="s">
        <v>589</v>
      </c>
      <c r="F19" s="13" t="s">
        <v>589</v>
      </c>
      <c r="G19" s="13" t="s">
        <v>591</v>
      </c>
      <c r="H19" s="13" t="s">
        <v>589</v>
      </c>
      <c r="I19" s="13" t="s">
        <v>589</v>
      </c>
    </row>
    <row r="20">
      <c r="A20" s="11">
        <v>41.0</v>
      </c>
      <c r="B20" s="13" t="s">
        <v>598</v>
      </c>
      <c r="C20" s="13" t="s">
        <v>621</v>
      </c>
      <c r="D20" s="13" t="s">
        <v>645</v>
      </c>
      <c r="E20" s="13" t="s">
        <v>591</v>
      </c>
      <c r="F20" s="13" t="s">
        <v>589</v>
      </c>
      <c r="G20" s="13" t="s">
        <v>591</v>
      </c>
      <c r="H20" s="13" t="s">
        <v>589</v>
      </c>
      <c r="I20" s="13" t="s">
        <v>589</v>
      </c>
    </row>
    <row r="21">
      <c r="A21" s="11">
        <v>47.0</v>
      </c>
      <c r="B21" s="13" t="s">
        <v>611</v>
      </c>
      <c r="C21" s="13" t="s">
        <v>615</v>
      </c>
      <c r="D21" s="13" t="s">
        <v>648</v>
      </c>
      <c r="E21" s="13" t="s">
        <v>591</v>
      </c>
      <c r="F21" s="13" t="s">
        <v>589</v>
      </c>
      <c r="G21" s="13" t="s">
        <v>591</v>
      </c>
      <c r="H21" s="13" t="s">
        <v>589</v>
      </c>
      <c r="I21" s="13" t="s">
        <v>589</v>
      </c>
    </row>
    <row r="22">
      <c r="A22" s="11">
        <v>49.0</v>
      </c>
      <c r="B22" s="13" t="s">
        <v>593</v>
      </c>
      <c r="C22" s="13" t="s">
        <v>587</v>
      </c>
      <c r="D22" s="13" t="s">
        <v>651</v>
      </c>
      <c r="E22" s="13" t="s">
        <v>591</v>
      </c>
      <c r="F22" s="13" t="s">
        <v>589</v>
      </c>
      <c r="G22" s="13" t="s">
        <v>591</v>
      </c>
      <c r="H22" s="13" t="s">
        <v>589</v>
      </c>
      <c r="I22" s="13" t="s">
        <v>589</v>
      </c>
    </row>
    <row r="23">
      <c r="A23" s="11">
        <v>50.0</v>
      </c>
      <c r="B23" s="13" t="s">
        <v>586</v>
      </c>
      <c r="C23" s="13" t="s">
        <v>621</v>
      </c>
      <c r="D23" s="13" t="s">
        <v>653</v>
      </c>
      <c r="E23" s="13" t="s">
        <v>591</v>
      </c>
      <c r="F23" s="13" t="s">
        <v>589</v>
      </c>
      <c r="G23" s="13" t="s">
        <v>591</v>
      </c>
      <c r="H23" s="13" t="s">
        <v>589</v>
      </c>
      <c r="I23" s="13" t="s">
        <v>591</v>
      </c>
    </row>
    <row r="24">
      <c r="A24" s="11">
        <v>53.0</v>
      </c>
      <c r="B24" s="13" t="s">
        <v>598</v>
      </c>
      <c r="C24" s="13" t="s">
        <v>613</v>
      </c>
      <c r="D24" s="13" t="s">
        <v>655</v>
      </c>
      <c r="E24" s="13" t="s">
        <v>589</v>
      </c>
      <c r="F24" s="13" t="s">
        <v>589</v>
      </c>
      <c r="G24" s="13" t="s">
        <v>591</v>
      </c>
      <c r="H24" s="13" t="s">
        <v>591</v>
      </c>
      <c r="I24" s="13" t="s">
        <v>591</v>
      </c>
    </row>
    <row r="25">
      <c r="A25" s="11">
        <v>55.0</v>
      </c>
      <c r="B25" s="13" t="s">
        <v>608</v>
      </c>
      <c r="C25" s="13" t="s">
        <v>587</v>
      </c>
      <c r="D25" s="13" t="s">
        <v>659</v>
      </c>
      <c r="E25" s="13" t="s">
        <v>589</v>
      </c>
      <c r="F25" s="13" t="s">
        <v>591</v>
      </c>
      <c r="G25" s="13" t="s">
        <v>591</v>
      </c>
      <c r="H25" s="13" t="s">
        <v>589</v>
      </c>
      <c r="I25" s="13" t="s">
        <v>591</v>
      </c>
    </row>
    <row r="26">
      <c r="A26" s="11">
        <v>56.0</v>
      </c>
      <c r="B26" s="13" t="s">
        <v>593</v>
      </c>
      <c r="C26" s="13" t="s">
        <v>587</v>
      </c>
      <c r="D26" s="13" t="s">
        <v>662</v>
      </c>
      <c r="E26" s="13" t="s">
        <v>589</v>
      </c>
      <c r="F26" s="13" t="s">
        <v>589</v>
      </c>
      <c r="G26" s="13" t="s">
        <v>591</v>
      </c>
      <c r="H26" s="13" t="s">
        <v>589</v>
      </c>
      <c r="I26" s="13" t="s">
        <v>589</v>
      </c>
    </row>
    <row r="27">
      <c r="A27" s="11">
        <v>57.0</v>
      </c>
      <c r="B27" s="13" t="s">
        <v>598</v>
      </c>
      <c r="C27" s="13" t="s">
        <v>615</v>
      </c>
      <c r="D27" s="13" t="s">
        <v>665</v>
      </c>
      <c r="E27" s="13" t="s">
        <v>589</v>
      </c>
      <c r="F27" s="13" t="s">
        <v>589</v>
      </c>
      <c r="G27" s="13" t="s">
        <v>591</v>
      </c>
      <c r="H27" s="13" t="s">
        <v>589</v>
      </c>
      <c r="I27" s="13" t="s">
        <v>591</v>
      </c>
    </row>
    <row r="28">
      <c r="A28" s="11">
        <v>61.0</v>
      </c>
      <c r="B28" s="13" t="s">
        <v>603</v>
      </c>
      <c r="C28" s="13" t="s">
        <v>587</v>
      </c>
      <c r="D28" s="13" t="s">
        <v>672</v>
      </c>
      <c r="E28" s="13" t="s">
        <v>589</v>
      </c>
      <c r="F28" s="13" t="s">
        <v>589</v>
      </c>
      <c r="G28" s="13" t="s">
        <v>591</v>
      </c>
      <c r="H28" s="13" t="s">
        <v>591</v>
      </c>
      <c r="I28" s="13" t="s">
        <v>591</v>
      </c>
    </row>
    <row r="29">
      <c r="A29" s="11">
        <v>63.0</v>
      </c>
      <c r="B29" s="13" t="s">
        <v>611</v>
      </c>
      <c r="C29" s="13" t="s">
        <v>587</v>
      </c>
      <c r="D29" s="13" t="s">
        <v>675</v>
      </c>
      <c r="E29" s="13" t="s">
        <v>589</v>
      </c>
      <c r="F29" s="13" t="s">
        <v>589</v>
      </c>
      <c r="G29" s="13" t="s">
        <v>591</v>
      </c>
      <c r="H29" s="13" t="s">
        <v>589</v>
      </c>
      <c r="I29" s="13" t="s">
        <v>591</v>
      </c>
    </row>
    <row r="30">
      <c r="A30" s="11">
        <v>65.0</v>
      </c>
      <c r="B30" s="13" t="s">
        <v>586</v>
      </c>
      <c r="C30" s="13" t="s">
        <v>587</v>
      </c>
      <c r="D30" s="13" t="s">
        <v>542</v>
      </c>
      <c r="E30" s="13" t="s">
        <v>589</v>
      </c>
      <c r="F30" s="13" t="s">
        <v>589</v>
      </c>
      <c r="G30" s="13" t="s">
        <v>591</v>
      </c>
      <c r="H30" s="13" t="s">
        <v>589</v>
      </c>
      <c r="I30" s="13" t="s">
        <v>591</v>
      </c>
    </row>
    <row r="31">
      <c r="A31" s="11">
        <v>68.0</v>
      </c>
      <c r="B31" s="13" t="s">
        <v>598</v>
      </c>
      <c r="C31" s="13" t="s">
        <v>587</v>
      </c>
      <c r="D31" s="13" t="s">
        <v>680</v>
      </c>
      <c r="E31" s="13" t="s">
        <v>591</v>
      </c>
      <c r="F31" s="13" t="s">
        <v>589</v>
      </c>
      <c r="G31" s="13" t="s">
        <v>591</v>
      </c>
      <c r="H31" s="13" t="s">
        <v>591</v>
      </c>
      <c r="I31" s="13" t="s">
        <v>591</v>
      </c>
    </row>
    <row r="32">
      <c r="A32" s="11">
        <v>74.0</v>
      </c>
      <c r="B32" s="13" t="s">
        <v>608</v>
      </c>
      <c r="C32" s="13" t="s">
        <v>613</v>
      </c>
      <c r="D32" s="13" t="s">
        <v>684</v>
      </c>
      <c r="E32" s="13" t="s">
        <v>589</v>
      </c>
      <c r="F32" s="13" t="s">
        <v>589</v>
      </c>
      <c r="G32" s="13" t="s">
        <v>589</v>
      </c>
      <c r="H32" s="13" t="s">
        <v>589</v>
      </c>
      <c r="I32" s="13" t="s">
        <v>591</v>
      </c>
    </row>
    <row r="33">
      <c r="A33" s="11">
        <v>76.0</v>
      </c>
      <c r="B33" s="13" t="s">
        <v>611</v>
      </c>
      <c r="C33" s="13" t="s">
        <v>615</v>
      </c>
      <c r="D33" s="13" t="s">
        <v>687</v>
      </c>
      <c r="E33" s="13" t="s">
        <v>591</v>
      </c>
      <c r="F33" s="13" t="s">
        <v>589</v>
      </c>
      <c r="G33" s="13" t="s">
        <v>591</v>
      </c>
      <c r="H33" s="13" t="s">
        <v>591</v>
      </c>
      <c r="I33" s="13" t="s">
        <v>591</v>
      </c>
    </row>
    <row r="34">
      <c r="A34" s="11">
        <v>77.0</v>
      </c>
      <c r="B34" s="13" t="s">
        <v>598</v>
      </c>
      <c r="C34" s="13" t="s">
        <v>615</v>
      </c>
      <c r="D34" s="13" t="s">
        <v>690</v>
      </c>
      <c r="E34" s="13" t="s">
        <v>591</v>
      </c>
      <c r="F34" s="13" t="s">
        <v>589</v>
      </c>
      <c r="G34" s="13" t="s">
        <v>591</v>
      </c>
      <c r="H34" s="13" t="s">
        <v>589</v>
      </c>
      <c r="I34" s="13" t="s">
        <v>589</v>
      </c>
    </row>
    <row r="35">
      <c r="A35" s="11">
        <v>78.0</v>
      </c>
      <c r="B35" s="13" t="s">
        <v>611</v>
      </c>
      <c r="C35" s="13" t="s">
        <v>615</v>
      </c>
      <c r="D35" s="13" t="s">
        <v>694</v>
      </c>
      <c r="E35" s="13" t="s">
        <v>591</v>
      </c>
      <c r="F35" s="13" t="s">
        <v>591</v>
      </c>
      <c r="G35" s="13" t="s">
        <v>589</v>
      </c>
      <c r="H35" s="13" t="s">
        <v>589</v>
      </c>
      <c r="I35" s="13" t="s">
        <v>591</v>
      </c>
    </row>
    <row r="36">
      <c r="A36" s="11">
        <v>79.0</v>
      </c>
      <c r="B36" s="13" t="s">
        <v>608</v>
      </c>
      <c r="C36" s="13" t="s">
        <v>615</v>
      </c>
      <c r="D36" s="13" t="s">
        <v>700</v>
      </c>
      <c r="E36" s="13" t="s">
        <v>589</v>
      </c>
      <c r="F36" s="13" t="s">
        <v>591</v>
      </c>
      <c r="G36" s="13" t="s">
        <v>591</v>
      </c>
      <c r="H36" s="13" t="s">
        <v>589</v>
      </c>
      <c r="I36" s="13" t="s">
        <v>591</v>
      </c>
    </row>
    <row r="37">
      <c r="A37" s="11">
        <v>80.0</v>
      </c>
      <c r="B37" s="13" t="s">
        <v>593</v>
      </c>
      <c r="C37" s="13" t="s">
        <v>615</v>
      </c>
      <c r="D37" s="13" t="s">
        <v>703</v>
      </c>
      <c r="E37" s="13" t="s">
        <v>591</v>
      </c>
      <c r="F37" s="13" t="s">
        <v>589</v>
      </c>
      <c r="G37" s="13" t="s">
        <v>591</v>
      </c>
      <c r="H37" s="13" t="s">
        <v>589</v>
      </c>
      <c r="I37" s="13" t="s">
        <v>591</v>
      </c>
    </row>
    <row r="38">
      <c r="A38" s="11">
        <v>81.0</v>
      </c>
      <c r="B38" s="13" t="s">
        <v>608</v>
      </c>
      <c r="C38" s="13" t="s">
        <v>587</v>
      </c>
      <c r="D38" s="13" t="s">
        <v>707</v>
      </c>
      <c r="E38" s="13" t="s">
        <v>591</v>
      </c>
      <c r="F38" s="13" t="s">
        <v>589</v>
      </c>
      <c r="G38" s="13" t="s">
        <v>589</v>
      </c>
      <c r="H38" s="13" t="s">
        <v>589</v>
      </c>
      <c r="I38" s="13" t="s">
        <v>591</v>
      </c>
    </row>
    <row r="39">
      <c r="A39" s="11">
        <v>82.0</v>
      </c>
      <c r="B39" s="13" t="s">
        <v>598</v>
      </c>
      <c r="C39" s="13" t="s">
        <v>621</v>
      </c>
      <c r="D39" s="13" t="s">
        <v>616</v>
      </c>
      <c r="E39" s="13" t="s">
        <v>589</v>
      </c>
      <c r="F39" s="13" t="s">
        <v>589</v>
      </c>
      <c r="G39" s="13" t="s">
        <v>591</v>
      </c>
      <c r="H39" s="13" t="s">
        <v>589</v>
      </c>
      <c r="I39" s="13" t="s">
        <v>591</v>
      </c>
    </row>
    <row r="40">
      <c r="A40" s="11">
        <v>83.0</v>
      </c>
      <c r="B40" s="13" t="s">
        <v>611</v>
      </c>
      <c r="C40" s="13" t="s">
        <v>613</v>
      </c>
      <c r="D40" s="13" t="s">
        <v>715</v>
      </c>
      <c r="E40" s="13" t="s">
        <v>591</v>
      </c>
      <c r="F40" s="13" t="s">
        <v>589</v>
      </c>
      <c r="G40" s="13" t="s">
        <v>591</v>
      </c>
      <c r="H40" s="13" t="s">
        <v>589</v>
      </c>
      <c r="I40" s="13" t="s">
        <v>591</v>
      </c>
    </row>
    <row r="41">
      <c r="A41" s="11">
        <v>84.0</v>
      </c>
      <c r="B41" s="13" t="s">
        <v>593</v>
      </c>
      <c r="C41" s="13" t="s">
        <v>587</v>
      </c>
      <c r="D41" s="13" t="s">
        <v>719</v>
      </c>
      <c r="E41" s="13" t="s">
        <v>591</v>
      </c>
      <c r="F41" s="13" t="s">
        <v>589</v>
      </c>
      <c r="G41" s="13" t="s">
        <v>591</v>
      </c>
      <c r="H41" s="13" t="s">
        <v>589</v>
      </c>
      <c r="I41" s="13" t="s">
        <v>591</v>
      </c>
    </row>
    <row r="42">
      <c r="A42" s="11">
        <v>87.0</v>
      </c>
      <c r="B42" s="13" t="s">
        <v>598</v>
      </c>
      <c r="C42" s="13" t="s">
        <v>587</v>
      </c>
      <c r="D42" s="13" t="s">
        <v>723</v>
      </c>
      <c r="E42" s="13" t="s">
        <v>589</v>
      </c>
      <c r="F42" s="13" t="s">
        <v>589</v>
      </c>
      <c r="G42" s="13" t="s">
        <v>591</v>
      </c>
      <c r="H42" s="13" t="s">
        <v>589</v>
      </c>
      <c r="I42" s="13" t="s">
        <v>591</v>
      </c>
    </row>
    <row r="43">
      <c r="A43" s="11">
        <v>88.0</v>
      </c>
      <c r="B43" s="13" t="s">
        <v>603</v>
      </c>
      <c r="C43" s="13" t="s">
        <v>615</v>
      </c>
      <c r="D43" s="13" t="s">
        <v>728</v>
      </c>
      <c r="E43" s="13" t="s">
        <v>589</v>
      </c>
      <c r="F43" s="13" t="s">
        <v>591</v>
      </c>
      <c r="G43" s="13" t="s">
        <v>591</v>
      </c>
      <c r="H43" s="13" t="s">
        <v>591</v>
      </c>
      <c r="I43" s="13" t="s">
        <v>591</v>
      </c>
    </row>
    <row r="44">
      <c r="A44" s="11">
        <v>89.0</v>
      </c>
      <c r="B44" s="13" t="s">
        <v>603</v>
      </c>
      <c r="C44" s="13" t="s">
        <v>615</v>
      </c>
      <c r="D44" s="13" t="s">
        <v>733</v>
      </c>
      <c r="E44" s="13" t="s">
        <v>589</v>
      </c>
      <c r="F44" s="13" t="s">
        <v>591</v>
      </c>
      <c r="G44" s="13" t="s">
        <v>591</v>
      </c>
      <c r="H44" s="13" t="s">
        <v>589</v>
      </c>
      <c r="I44" s="13" t="s">
        <v>591</v>
      </c>
    </row>
    <row r="45">
      <c r="A45" s="11">
        <v>91.0</v>
      </c>
      <c r="B45" s="13" t="s">
        <v>611</v>
      </c>
      <c r="C45" s="13" t="s">
        <v>587</v>
      </c>
      <c r="D45" s="13" t="s">
        <v>738</v>
      </c>
      <c r="E45" s="13" t="s">
        <v>589</v>
      </c>
      <c r="F45" s="13" t="s">
        <v>589</v>
      </c>
      <c r="G45" s="13" t="s">
        <v>591</v>
      </c>
      <c r="H45" s="13" t="s">
        <v>589</v>
      </c>
      <c r="I45" s="13" t="s">
        <v>591</v>
      </c>
    </row>
    <row r="46">
      <c r="A46" s="11">
        <v>93.0</v>
      </c>
      <c r="B46" s="13" t="s">
        <v>586</v>
      </c>
      <c r="C46" s="13" t="s">
        <v>587</v>
      </c>
      <c r="D46" s="13" t="s">
        <v>741</v>
      </c>
      <c r="E46" s="13" t="s">
        <v>589</v>
      </c>
      <c r="F46" s="13" t="s">
        <v>589</v>
      </c>
      <c r="G46" s="13" t="s">
        <v>591</v>
      </c>
      <c r="H46" s="13" t="s">
        <v>589</v>
      </c>
      <c r="I46" s="13" t="s">
        <v>591</v>
      </c>
    </row>
    <row r="47">
      <c r="A47" s="11">
        <v>95.0</v>
      </c>
      <c r="B47" s="13" t="s">
        <v>593</v>
      </c>
      <c r="C47" s="13" t="s">
        <v>613</v>
      </c>
      <c r="D47" s="13" t="s">
        <v>743</v>
      </c>
      <c r="E47" s="13" t="s">
        <v>591</v>
      </c>
      <c r="F47" s="13" t="s">
        <v>589</v>
      </c>
      <c r="G47" s="13" t="s">
        <v>591</v>
      </c>
      <c r="H47" s="13" t="s">
        <v>589</v>
      </c>
      <c r="I47" s="13" t="s">
        <v>589</v>
      </c>
    </row>
    <row r="48">
      <c r="A48" s="11">
        <v>97.0</v>
      </c>
      <c r="B48" s="13" t="s">
        <v>598</v>
      </c>
      <c r="C48" s="13" t="s">
        <v>613</v>
      </c>
      <c r="D48" s="13" t="s">
        <v>746</v>
      </c>
      <c r="E48" s="13" t="s">
        <v>589</v>
      </c>
      <c r="F48" s="13" t="s">
        <v>589</v>
      </c>
      <c r="G48" s="13" t="s">
        <v>591</v>
      </c>
      <c r="H48" s="13" t="s">
        <v>589</v>
      </c>
      <c r="I48" s="13" t="s">
        <v>591</v>
      </c>
    </row>
    <row r="49">
      <c r="A49" s="11">
        <v>99.0</v>
      </c>
      <c r="B49" s="13" t="s">
        <v>603</v>
      </c>
      <c r="C49" s="13" t="s">
        <v>615</v>
      </c>
      <c r="D49" s="13" t="s">
        <v>749</v>
      </c>
      <c r="E49" s="13" t="s">
        <v>589</v>
      </c>
      <c r="F49" s="13" t="s">
        <v>591</v>
      </c>
      <c r="G49" s="13" t="s">
        <v>591</v>
      </c>
      <c r="H49" s="13" t="s">
        <v>589</v>
      </c>
      <c r="I49" s="13" t="s">
        <v>589</v>
      </c>
    </row>
    <row r="50">
      <c r="A50" s="11">
        <v>100.0</v>
      </c>
      <c r="B50" s="13" t="s">
        <v>598</v>
      </c>
      <c r="C50" s="13" t="s">
        <v>587</v>
      </c>
      <c r="D50" s="13" t="s">
        <v>753</v>
      </c>
      <c r="E50" s="13" t="s">
        <v>591</v>
      </c>
      <c r="F50" s="13" t="s">
        <v>589</v>
      </c>
      <c r="G50" s="13" t="s">
        <v>589</v>
      </c>
      <c r="H50" s="13" t="s">
        <v>589</v>
      </c>
      <c r="I50" s="13" t="s">
        <v>591</v>
      </c>
    </row>
    <row r="51">
      <c r="A51" s="11">
        <v>101.0</v>
      </c>
      <c r="B51" s="13" t="s">
        <v>608</v>
      </c>
      <c r="C51" s="13" t="s">
        <v>621</v>
      </c>
      <c r="D51" s="13" t="s">
        <v>757</v>
      </c>
      <c r="E51" s="13" t="s">
        <v>589</v>
      </c>
      <c r="F51" s="13" t="s">
        <v>589</v>
      </c>
      <c r="G51" s="13" t="s">
        <v>591</v>
      </c>
      <c r="H51" s="13" t="s">
        <v>591</v>
      </c>
      <c r="I51" s="13" t="s">
        <v>591</v>
      </c>
    </row>
    <row r="52">
      <c r="A52" s="11">
        <v>104.0</v>
      </c>
      <c r="B52" s="13" t="s">
        <v>593</v>
      </c>
      <c r="C52" s="13" t="s">
        <v>615</v>
      </c>
      <c r="D52" s="13" t="s">
        <v>624</v>
      </c>
      <c r="E52" s="13" t="s">
        <v>589</v>
      </c>
      <c r="F52" s="13" t="s">
        <v>589</v>
      </c>
      <c r="G52" s="13" t="s">
        <v>589</v>
      </c>
      <c r="H52" s="13" t="s">
        <v>589</v>
      </c>
      <c r="I52" s="13" t="s">
        <v>589</v>
      </c>
    </row>
    <row r="53">
      <c r="A53" s="11">
        <v>106.0</v>
      </c>
      <c r="B53" s="13" t="s">
        <v>611</v>
      </c>
      <c r="C53" s="13" t="s">
        <v>621</v>
      </c>
      <c r="D53" s="13" t="s">
        <v>763</v>
      </c>
      <c r="E53" s="13" t="s">
        <v>591</v>
      </c>
      <c r="F53" s="13" t="s">
        <v>589</v>
      </c>
      <c r="G53" s="13" t="s">
        <v>589</v>
      </c>
      <c r="H53" s="13" t="s">
        <v>589</v>
      </c>
      <c r="I53" s="13" t="s">
        <v>591</v>
      </c>
    </row>
    <row r="54">
      <c r="A54" s="11">
        <v>108.0</v>
      </c>
      <c r="B54" s="13" t="s">
        <v>593</v>
      </c>
      <c r="C54" s="13" t="s">
        <v>621</v>
      </c>
      <c r="D54" s="13" t="s">
        <v>770</v>
      </c>
      <c r="E54" s="13" t="s">
        <v>591</v>
      </c>
      <c r="F54" s="13" t="s">
        <v>589</v>
      </c>
      <c r="G54" s="13" t="s">
        <v>589</v>
      </c>
      <c r="H54" s="13" t="s">
        <v>591</v>
      </c>
      <c r="I54" s="13" t="s">
        <v>591</v>
      </c>
    </row>
    <row r="55">
      <c r="A55" s="11">
        <v>109.0</v>
      </c>
      <c r="B55" s="13" t="s">
        <v>586</v>
      </c>
      <c r="C55" s="13" t="s">
        <v>615</v>
      </c>
      <c r="D55" s="13" t="s">
        <v>773</v>
      </c>
      <c r="E55" s="13" t="s">
        <v>591</v>
      </c>
      <c r="F55" s="13" t="s">
        <v>589</v>
      </c>
      <c r="G55" s="13" t="s">
        <v>591</v>
      </c>
      <c r="H55" s="13" t="s">
        <v>589</v>
      </c>
      <c r="I55" s="13" t="s">
        <v>589</v>
      </c>
    </row>
    <row r="56">
      <c r="A56" s="11">
        <v>111.0</v>
      </c>
      <c r="B56" s="13" t="s">
        <v>593</v>
      </c>
      <c r="C56" s="13" t="s">
        <v>621</v>
      </c>
      <c r="D56" s="13" t="s">
        <v>775</v>
      </c>
      <c r="E56" s="13" t="s">
        <v>591</v>
      </c>
      <c r="F56" s="13" t="s">
        <v>589</v>
      </c>
      <c r="G56" s="13" t="s">
        <v>591</v>
      </c>
      <c r="H56" s="13" t="s">
        <v>589</v>
      </c>
      <c r="I56" s="13" t="s">
        <v>591</v>
      </c>
    </row>
    <row r="57">
      <c r="A57" s="11">
        <v>112.0</v>
      </c>
      <c r="B57" s="13" t="s">
        <v>593</v>
      </c>
      <c r="C57" s="13" t="s">
        <v>615</v>
      </c>
      <c r="D57" s="13" t="s">
        <v>779</v>
      </c>
      <c r="E57" s="13" t="s">
        <v>591</v>
      </c>
      <c r="F57" s="13" t="s">
        <v>591</v>
      </c>
      <c r="G57" s="13" t="s">
        <v>591</v>
      </c>
      <c r="H57" s="13" t="s">
        <v>589</v>
      </c>
      <c r="I57" s="13" t="s">
        <v>589</v>
      </c>
    </row>
    <row r="58">
      <c r="A58" s="11">
        <v>113.0</v>
      </c>
      <c r="B58" s="13" t="s">
        <v>598</v>
      </c>
      <c r="C58" s="13" t="s">
        <v>613</v>
      </c>
      <c r="D58" s="13" t="s">
        <v>784</v>
      </c>
      <c r="E58" s="13" t="s">
        <v>591</v>
      </c>
      <c r="F58" s="13" t="s">
        <v>589</v>
      </c>
      <c r="G58" s="13" t="s">
        <v>591</v>
      </c>
      <c r="H58" s="13" t="s">
        <v>591</v>
      </c>
      <c r="I58" s="13" t="s">
        <v>591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90</v>
      </c>
      <c r="B1" s="17" t="s">
        <v>863</v>
      </c>
      <c r="C1" s="17" t="s">
        <v>864</v>
      </c>
      <c r="D1" s="17" t="s">
        <v>865</v>
      </c>
      <c r="E1" s="17" t="s">
        <v>866</v>
      </c>
      <c r="F1" s="17" t="s">
        <v>867</v>
      </c>
      <c r="G1" s="17" t="s">
        <v>868</v>
      </c>
      <c r="H1" s="17" t="s">
        <v>869</v>
      </c>
      <c r="I1" s="17" t="s">
        <v>870</v>
      </c>
      <c r="J1" s="17" t="s">
        <v>871</v>
      </c>
      <c r="K1" s="17" t="s">
        <v>872</v>
      </c>
    </row>
    <row r="2">
      <c r="A2" s="11">
        <v>15.0</v>
      </c>
      <c r="B2" s="13">
        <v>1323.89</v>
      </c>
      <c r="C2" s="13">
        <v>33.01</v>
      </c>
      <c r="D2" s="13">
        <v>31.12</v>
      </c>
      <c r="E2" s="13">
        <v>45.15</v>
      </c>
      <c r="F2" s="13">
        <v>90.08</v>
      </c>
      <c r="G2" s="13">
        <v>50.62</v>
      </c>
      <c r="H2" s="13">
        <v>37.21</v>
      </c>
      <c r="I2" s="13">
        <v>17.89</v>
      </c>
      <c r="J2" s="13">
        <v>36.99</v>
      </c>
      <c r="K2" s="13">
        <v>38.13</v>
      </c>
    </row>
    <row r="3">
      <c r="A3" s="11">
        <v>17.0</v>
      </c>
      <c r="B3" s="13">
        <v>1909.02</v>
      </c>
      <c r="C3" s="13">
        <v>64.91</v>
      </c>
      <c r="D3" s="13">
        <v>216.1</v>
      </c>
      <c r="E3" s="13">
        <v>160.64</v>
      </c>
      <c r="F3" s="13">
        <v>46.69</v>
      </c>
      <c r="G3" s="13">
        <v>111.32</v>
      </c>
      <c r="H3" s="13">
        <v>368.33</v>
      </c>
      <c r="I3" s="13">
        <v>444.46</v>
      </c>
      <c r="J3" s="13">
        <v>77.69</v>
      </c>
      <c r="K3" s="13">
        <v>74.02</v>
      </c>
    </row>
    <row r="4">
      <c r="A4" s="11">
        <v>18.0</v>
      </c>
      <c r="B4" s="13">
        <v>1282.33</v>
      </c>
      <c r="C4" s="13">
        <v>79.74</v>
      </c>
      <c r="D4" s="13">
        <v>38.21</v>
      </c>
      <c r="E4" s="13">
        <v>41.59</v>
      </c>
      <c r="F4" s="13">
        <v>52.72</v>
      </c>
      <c r="G4" s="13">
        <v>62.1</v>
      </c>
      <c r="H4" s="13">
        <v>46.55</v>
      </c>
      <c r="I4" s="13">
        <v>68.46</v>
      </c>
      <c r="J4" s="13">
        <v>86.9</v>
      </c>
      <c r="K4" s="13">
        <v>62.25</v>
      </c>
    </row>
    <row r="5">
      <c r="A5" s="11">
        <v>20.0</v>
      </c>
      <c r="B5" s="13">
        <v>728.13</v>
      </c>
      <c r="C5" s="13">
        <v>43.02</v>
      </c>
      <c r="D5" s="13">
        <v>72.32</v>
      </c>
      <c r="E5" s="13">
        <v>64.68</v>
      </c>
      <c r="F5" s="13">
        <v>45.96</v>
      </c>
      <c r="G5" s="13">
        <v>23.92</v>
      </c>
      <c r="H5" s="13">
        <v>22.35</v>
      </c>
      <c r="I5" s="13">
        <v>54.62</v>
      </c>
      <c r="J5" s="13">
        <v>29.57</v>
      </c>
      <c r="K5" s="13">
        <v>41.16</v>
      </c>
    </row>
    <row r="6">
      <c r="A6" s="11">
        <v>21.0</v>
      </c>
      <c r="B6" s="13">
        <v>1204.42</v>
      </c>
      <c r="C6" s="13">
        <v>90.72</v>
      </c>
      <c r="D6" s="13">
        <v>67.17</v>
      </c>
      <c r="E6" s="13">
        <v>65.96</v>
      </c>
      <c r="F6" s="13">
        <v>55.23</v>
      </c>
      <c r="G6" s="13">
        <v>75.0</v>
      </c>
      <c r="H6" s="13">
        <v>59.39</v>
      </c>
      <c r="I6" s="13">
        <v>56.91</v>
      </c>
      <c r="J6" s="13">
        <v>52.85</v>
      </c>
      <c r="K6" s="13">
        <v>66.06</v>
      </c>
    </row>
    <row r="7">
      <c r="A7" s="11">
        <v>22.0</v>
      </c>
      <c r="B7" s="13">
        <v>1036.7</v>
      </c>
      <c r="C7" s="13">
        <v>20.43</v>
      </c>
      <c r="D7" s="13">
        <v>46.57</v>
      </c>
      <c r="E7" s="13">
        <v>61.57</v>
      </c>
      <c r="F7" s="13">
        <v>52.5</v>
      </c>
      <c r="G7" s="13">
        <v>33.9</v>
      </c>
      <c r="H7" s="13">
        <v>81.33</v>
      </c>
      <c r="I7" s="13">
        <v>83.33</v>
      </c>
      <c r="J7" s="13">
        <v>74.2</v>
      </c>
      <c r="K7" s="13">
        <v>138.83</v>
      </c>
    </row>
    <row r="8">
      <c r="A8" s="11">
        <v>23.0</v>
      </c>
      <c r="B8" s="13">
        <v>1017.36</v>
      </c>
      <c r="C8" s="13">
        <v>98.48</v>
      </c>
      <c r="D8" s="13">
        <v>30.88</v>
      </c>
      <c r="E8" s="13">
        <v>31.96</v>
      </c>
      <c r="F8" s="13">
        <v>45.69</v>
      </c>
      <c r="G8" s="13">
        <v>65.31</v>
      </c>
      <c r="H8" s="13">
        <v>50.59</v>
      </c>
      <c r="I8" s="13">
        <v>38.89</v>
      </c>
      <c r="J8" s="13">
        <v>46.84</v>
      </c>
      <c r="K8" s="13">
        <v>46.76</v>
      </c>
    </row>
    <row r="9">
      <c r="A9" s="11">
        <v>24.0</v>
      </c>
      <c r="B9" s="13">
        <v>1643.66</v>
      </c>
      <c r="C9" s="13">
        <v>73.76</v>
      </c>
      <c r="D9" s="13">
        <v>74.32</v>
      </c>
      <c r="E9" s="13">
        <v>99.01</v>
      </c>
      <c r="F9" s="13">
        <v>71.33</v>
      </c>
      <c r="G9" s="13">
        <v>190.65</v>
      </c>
      <c r="H9" s="13">
        <v>74.94</v>
      </c>
      <c r="I9" s="13">
        <v>54.82</v>
      </c>
      <c r="J9" s="13">
        <v>29.72</v>
      </c>
      <c r="K9" s="13">
        <v>59.32</v>
      </c>
    </row>
    <row r="10">
      <c r="A10" s="11">
        <v>25.0</v>
      </c>
      <c r="B10" s="13">
        <v>724.08</v>
      </c>
      <c r="C10" s="13">
        <v>62.3</v>
      </c>
      <c r="D10" s="13">
        <v>37.21</v>
      </c>
      <c r="E10" s="13">
        <v>31.5</v>
      </c>
      <c r="F10" s="13">
        <v>23.41</v>
      </c>
      <c r="G10" s="13">
        <v>29.25</v>
      </c>
      <c r="H10" s="13">
        <v>30.0</v>
      </c>
      <c r="I10" s="13">
        <v>29.74</v>
      </c>
      <c r="J10" s="13">
        <v>28.67</v>
      </c>
      <c r="K10" s="13">
        <v>27.71</v>
      </c>
    </row>
    <row r="11">
      <c r="A11" s="11">
        <v>26.0</v>
      </c>
      <c r="B11" s="13">
        <v>464.99</v>
      </c>
      <c r="C11" s="13">
        <v>19.07</v>
      </c>
      <c r="D11" s="13">
        <v>16.99</v>
      </c>
      <c r="E11" s="13">
        <v>67.74</v>
      </c>
      <c r="F11" s="13">
        <v>31.89</v>
      </c>
      <c r="G11" s="13">
        <v>18.79</v>
      </c>
      <c r="H11" s="13">
        <v>21.18</v>
      </c>
      <c r="I11" s="13">
        <v>43.6</v>
      </c>
      <c r="J11" s="13">
        <v>24.18</v>
      </c>
      <c r="K11" s="13">
        <v>15.42</v>
      </c>
    </row>
    <row r="12">
      <c r="A12" s="11">
        <v>30.0</v>
      </c>
      <c r="B12" s="13">
        <v>440.13</v>
      </c>
      <c r="C12" s="13">
        <v>29.14</v>
      </c>
      <c r="D12" s="13">
        <v>16.52</v>
      </c>
      <c r="E12" s="13">
        <v>19.24</v>
      </c>
      <c r="F12" s="13">
        <v>86.65</v>
      </c>
      <c r="G12" s="13">
        <v>27.4</v>
      </c>
      <c r="H12" s="33"/>
      <c r="I12" s="33"/>
      <c r="J12" s="13">
        <v>21.69</v>
      </c>
      <c r="K12" s="33"/>
    </row>
    <row r="13">
      <c r="A13" s="11">
        <v>31.0</v>
      </c>
      <c r="B13" s="13">
        <v>1288.7</v>
      </c>
      <c r="C13" s="13">
        <v>84.61</v>
      </c>
      <c r="D13" s="13">
        <v>51.0</v>
      </c>
      <c r="E13" s="13">
        <v>77.84</v>
      </c>
      <c r="F13" s="13">
        <v>40.09</v>
      </c>
      <c r="G13" s="13">
        <v>62.45</v>
      </c>
      <c r="H13" s="13">
        <v>98.88</v>
      </c>
      <c r="I13" s="13">
        <v>70.65</v>
      </c>
      <c r="J13" s="13">
        <v>95.47</v>
      </c>
      <c r="K13" s="13">
        <v>89.4</v>
      </c>
    </row>
    <row r="14">
      <c r="A14" s="11">
        <v>34.0</v>
      </c>
      <c r="B14" s="13">
        <v>1296.37</v>
      </c>
      <c r="C14" s="13">
        <v>137.66</v>
      </c>
      <c r="D14" s="13">
        <v>67.76</v>
      </c>
      <c r="E14" s="13">
        <v>58.14</v>
      </c>
      <c r="F14" s="13">
        <v>74.44</v>
      </c>
      <c r="G14" s="13">
        <v>62.34</v>
      </c>
      <c r="H14" s="13">
        <v>45.31</v>
      </c>
      <c r="I14" s="13">
        <v>58.04</v>
      </c>
      <c r="J14" s="13">
        <v>37.04</v>
      </c>
      <c r="K14" s="13">
        <v>30.69</v>
      </c>
    </row>
    <row r="15">
      <c r="A15" s="11">
        <v>36.0</v>
      </c>
      <c r="B15" s="13">
        <v>730.22</v>
      </c>
      <c r="C15" s="13">
        <v>32.79</v>
      </c>
      <c r="D15" s="13">
        <v>40.43</v>
      </c>
      <c r="E15" s="13">
        <v>35.9</v>
      </c>
      <c r="F15" s="13">
        <v>36.74</v>
      </c>
      <c r="G15" s="13">
        <v>30.38</v>
      </c>
      <c r="H15" s="13">
        <v>56.43</v>
      </c>
      <c r="I15" s="13">
        <v>34.85</v>
      </c>
      <c r="J15" s="13">
        <v>65.17</v>
      </c>
      <c r="K15" s="13">
        <v>84.25</v>
      </c>
    </row>
    <row r="16">
      <c r="A16" s="11">
        <v>37.0</v>
      </c>
      <c r="B16" s="13">
        <v>1167.49</v>
      </c>
      <c r="C16" s="13">
        <v>49.72</v>
      </c>
      <c r="D16" s="13">
        <v>26.63</v>
      </c>
      <c r="E16" s="13">
        <v>47.94</v>
      </c>
      <c r="F16" s="13">
        <v>26.19</v>
      </c>
      <c r="G16" s="13">
        <v>36.17</v>
      </c>
      <c r="H16" s="13">
        <v>145.15</v>
      </c>
      <c r="I16" s="13">
        <v>41.0</v>
      </c>
      <c r="J16" s="13">
        <v>28.44</v>
      </c>
      <c r="K16" s="13">
        <v>35.95</v>
      </c>
    </row>
    <row r="17">
      <c r="A17" s="11">
        <v>38.0</v>
      </c>
      <c r="B17" s="13">
        <v>755.0</v>
      </c>
      <c r="C17" s="13">
        <v>75.71</v>
      </c>
      <c r="D17" s="13">
        <v>55.03</v>
      </c>
      <c r="E17" s="13">
        <v>39.67</v>
      </c>
      <c r="F17" s="13">
        <v>31.88</v>
      </c>
      <c r="G17" s="13">
        <v>82.36</v>
      </c>
      <c r="H17" s="13">
        <v>50.82</v>
      </c>
      <c r="I17" s="13">
        <v>12.99</v>
      </c>
      <c r="J17" s="13">
        <v>19.46</v>
      </c>
      <c r="K17" s="13">
        <v>22.46</v>
      </c>
    </row>
    <row r="18">
      <c r="A18" s="11">
        <v>39.0</v>
      </c>
      <c r="B18" s="13">
        <v>1351.0</v>
      </c>
      <c r="C18" s="13">
        <v>47.67</v>
      </c>
      <c r="D18" s="13">
        <v>88.44</v>
      </c>
      <c r="E18" s="13">
        <v>82.56</v>
      </c>
      <c r="F18" s="13">
        <v>38.71</v>
      </c>
      <c r="G18" s="13">
        <v>71.79</v>
      </c>
      <c r="H18" s="13">
        <v>50.32</v>
      </c>
      <c r="I18" s="13">
        <v>101.83</v>
      </c>
      <c r="J18" s="13">
        <v>66.12</v>
      </c>
      <c r="K18" s="13">
        <v>68.28</v>
      </c>
    </row>
    <row r="19">
      <c r="A19" s="11">
        <v>40.0</v>
      </c>
      <c r="B19" s="13">
        <v>796.04</v>
      </c>
      <c r="C19" s="13">
        <v>62.56</v>
      </c>
      <c r="D19" s="13">
        <v>52.05</v>
      </c>
      <c r="E19" s="13">
        <v>45.15</v>
      </c>
      <c r="F19" s="13">
        <v>43.02</v>
      </c>
      <c r="G19" s="13">
        <v>38.79</v>
      </c>
      <c r="H19" s="13">
        <v>47.24</v>
      </c>
      <c r="I19" s="13">
        <v>61.57</v>
      </c>
      <c r="J19" s="13">
        <v>28.98</v>
      </c>
      <c r="K19" s="13">
        <v>23.32</v>
      </c>
    </row>
    <row r="20">
      <c r="A20" s="11">
        <v>41.0</v>
      </c>
      <c r="B20" s="13">
        <v>1404.83</v>
      </c>
      <c r="C20" s="13">
        <v>109.41</v>
      </c>
      <c r="D20" s="13">
        <v>43.16</v>
      </c>
      <c r="E20" s="13">
        <v>75.16</v>
      </c>
      <c r="F20" s="13">
        <v>53.21</v>
      </c>
      <c r="G20" s="13">
        <v>50.35</v>
      </c>
      <c r="H20" s="13">
        <v>40.31</v>
      </c>
      <c r="I20" s="13">
        <v>54.9</v>
      </c>
      <c r="J20" s="13">
        <v>69.01</v>
      </c>
      <c r="K20" s="13">
        <v>62.24</v>
      </c>
    </row>
    <row r="21">
      <c r="A21" s="11">
        <v>47.0</v>
      </c>
      <c r="B21" s="13">
        <v>777.02</v>
      </c>
      <c r="C21" s="13">
        <v>24.09</v>
      </c>
      <c r="D21" s="13">
        <v>17.03</v>
      </c>
      <c r="E21" s="13">
        <v>18.21</v>
      </c>
      <c r="F21" s="13">
        <v>18.1</v>
      </c>
      <c r="G21" s="13">
        <v>15.05</v>
      </c>
      <c r="H21" s="13">
        <v>43.4</v>
      </c>
      <c r="I21" s="13">
        <v>42.35</v>
      </c>
      <c r="J21" s="13">
        <v>28.91</v>
      </c>
      <c r="K21" s="13">
        <v>22.87</v>
      </c>
    </row>
    <row r="22">
      <c r="A22" s="11">
        <v>49.0</v>
      </c>
      <c r="B22" s="13">
        <v>1782.2</v>
      </c>
      <c r="C22" s="13">
        <v>58.57</v>
      </c>
      <c r="D22" s="13">
        <v>35.09</v>
      </c>
      <c r="E22" s="13">
        <v>21.33</v>
      </c>
      <c r="F22" s="13">
        <v>31.29</v>
      </c>
      <c r="G22" s="13">
        <v>15.39</v>
      </c>
      <c r="H22" s="13">
        <v>42.9</v>
      </c>
      <c r="I22" s="13">
        <v>315.99</v>
      </c>
      <c r="J22" s="13">
        <v>385.52</v>
      </c>
      <c r="K22" s="13">
        <v>91.02</v>
      </c>
    </row>
    <row r="23">
      <c r="A23" s="11">
        <v>50.0</v>
      </c>
      <c r="B23" s="13">
        <v>1152.0</v>
      </c>
      <c r="C23" s="13">
        <v>68.43</v>
      </c>
      <c r="D23" s="13">
        <v>51.24</v>
      </c>
      <c r="E23" s="13">
        <v>87.17</v>
      </c>
      <c r="F23" s="13">
        <v>59.97</v>
      </c>
      <c r="G23" s="13">
        <v>39.53</v>
      </c>
      <c r="H23" s="13">
        <v>74.2</v>
      </c>
      <c r="I23" s="13">
        <v>46.06</v>
      </c>
      <c r="J23" s="13">
        <v>63.34</v>
      </c>
      <c r="K23" s="13">
        <v>64.28</v>
      </c>
    </row>
    <row r="24">
      <c r="A24" s="11">
        <v>53.0</v>
      </c>
      <c r="B24" s="13">
        <v>3014.81</v>
      </c>
      <c r="C24" s="13">
        <v>110.01</v>
      </c>
      <c r="D24" s="13">
        <v>97.24</v>
      </c>
      <c r="E24" s="13">
        <v>71.45</v>
      </c>
      <c r="F24" s="13">
        <v>60.71</v>
      </c>
      <c r="G24" s="13">
        <v>1346.03</v>
      </c>
      <c r="H24" s="13">
        <v>163.46</v>
      </c>
      <c r="I24" s="13">
        <v>128.46</v>
      </c>
      <c r="J24" s="13">
        <v>126.94</v>
      </c>
      <c r="K24" s="13">
        <v>96.91</v>
      </c>
    </row>
    <row r="25">
      <c r="A25" s="11">
        <v>55.0</v>
      </c>
      <c r="B25" s="13">
        <v>1026.66</v>
      </c>
      <c r="C25" s="13">
        <v>14.09</v>
      </c>
      <c r="D25" s="13">
        <v>42.76</v>
      </c>
      <c r="E25" s="13">
        <v>91.95</v>
      </c>
      <c r="F25" s="13">
        <v>71.12</v>
      </c>
      <c r="G25" s="13">
        <v>53.75</v>
      </c>
      <c r="H25" s="13">
        <v>48.8</v>
      </c>
      <c r="I25" s="13">
        <v>41.58</v>
      </c>
      <c r="J25" s="13">
        <v>41.92</v>
      </c>
      <c r="K25" s="13">
        <v>34.68</v>
      </c>
    </row>
    <row r="26">
      <c r="A26" s="11">
        <v>56.0</v>
      </c>
      <c r="B26" s="13">
        <v>894.42</v>
      </c>
      <c r="C26" s="13">
        <v>54.02</v>
      </c>
      <c r="D26" s="13">
        <v>47.65</v>
      </c>
      <c r="E26" s="13">
        <v>39.12</v>
      </c>
      <c r="F26" s="13">
        <v>41.4</v>
      </c>
      <c r="G26" s="13">
        <v>54.45</v>
      </c>
      <c r="H26" s="13">
        <v>47.83</v>
      </c>
      <c r="I26" s="13">
        <v>35.91</v>
      </c>
      <c r="J26" s="13">
        <v>34.22</v>
      </c>
      <c r="K26" s="13">
        <v>31.44</v>
      </c>
    </row>
    <row r="27">
      <c r="A27" s="11">
        <v>57.0</v>
      </c>
      <c r="B27" s="13">
        <v>1726.3</v>
      </c>
      <c r="C27" s="13">
        <v>127.44</v>
      </c>
      <c r="D27" s="13">
        <v>131.87</v>
      </c>
      <c r="E27" s="13">
        <v>54.18</v>
      </c>
      <c r="F27" s="13">
        <v>66.81</v>
      </c>
      <c r="G27" s="13">
        <v>93.81</v>
      </c>
      <c r="H27" s="13">
        <v>138.4</v>
      </c>
      <c r="I27" s="13">
        <v>100.94</v>
      </c>
      <c r="J27" s="13">
        <v>71.95</v>
      </c>
      <c r="K27" s="13">
        <v>184.0</v>
      </c>
    </row>
    <row r="28">
      <c r="A28" s="11">
        <v>60.0</v>
      </c>
      <c r="B28" s="13">
        <v>308.24</v>
      </c>
      <c r="C28" s="13">
        <v>54.61</v>
      </c>
      <c r="D28" s="13">
        <v>47.65</v>
      </c>
      <c r="E28" s="13">
        <v>45.96</v>
      </c>
      <c r="F28" s="13">
        <v>40.72</v>
      </c>
      <c r="G28" s="33"/>
      <c r="H28" s="33"/>
      <c r="I28" s="33"/>
      <c r="J28" s="33"/>
      <c r="K28" s="33"/>
    </row>
    <row r="29">
      <c r="A29" s="11">
        <v>61.0</v>
      </c>
      <c r="B29" s="13">
        <v>1007.4</v>
      </c>
      <c r="C29" s="13">
        <v>108.79</v>
      </c>
      <c r="D29" s="13">
        <v>67.91</v>
      </c>
      <c r="E29" s="13">
        <v>52.17</v>
      </c>
      <c r="F29" s="13">
        <v>31.76</v>
      </c>
      <c r="G29" s="13">
        <v>28.25</v>
      </c>
      <c r="H29" s="13">
        <v>74.77</v>
      </c>
      <c r="I29" s="13">
        <v>35.39</v>
      </c>
      <c r="J29" s="13">
        <v>37.25</v>
      </c>
      <c r="K29" s="13">
        <v>39.85</v>
      </c>
    </row>
    <row r="30">
      <c r="A30" s="11">
        <v>63.0</v>
      </c>
      <c r="B30" s="13">
        <v>995.96</v>
      </c>
      <c r="C30" s="13">
        <v>60.34</v>
      </c>
      <c r="D30" s="13">
        <v>43.05</v>
      </c>
      <c r="E30" s="13">
        <v>33.27</v>
      </c>
      <c r="F30" s="13">
        <v>43.0</v>
      </c>
      <c r="G30" s="13">
        <v>81.89</v>
      </c>
      <c r="H30" s="13">
        <v>93.84</v>
      </c>
      <c r="I30" s="13">
        <v>43.1</v>
      </c>
      <c r="J30" s="13">
        <v>42.8</v>
      </c>
      <c r="K30" s="13">
        <v>61.03</v>
      </c>
    </row>
    <row r="31">
      <c r="A31" s="11">
        <v>65.0</v>
      </c>
      <c r="B31" s="13">
        <v>632.07</v>
      </c>
      <c r="C31" s="13">
        <v>67.81</v>
      </c>
      <c r="D31" s="13">
        <v>40.17</v>
      </c>
      <c r="E31" s="13">
        <v>24.68</v>
      </c>
      <c r="F31" s="13">
        <v>15.22</v>
      </c>
      <c r="G31" s="13">
        <v>24.34</v>
      </c>
      <c r="H31" s="13">
        <v>91.53</v>
      </c>
      <c r="I31" s="13">
        <v>91.3</v>
      </c>
      <c r="J31" s="13">
        <v>16.75</v>
      </c>
      <c r="K31" s="13">
        <v>75.83</v>
      </c>
    </row>
    <row r="32">
      <c r="A32" s="11">
        <v>68.0</v>
      </c>
      <c r="B32" s="13">
        <v>1614.71</v>
      </c>
      <c r="C32" s="13">
        <v>58.93</v>
      </c>
      <c r="D32" s="13">
        <v>58.58</v>
      </c>
      <c r="E32" s="13">
        <v>147.79</v>
      </c>
      <c r="F32" s="13">
        <v>49.6</v>
      </c>
      <c r="G32" s="13">
        <v>96.9</v>
      </c>
      <c r="H32" s="13">
        <v>113.93</v>
      </c>
      <c r="I32" s="13">
        <v>70.23</v>
      </c>
      <c r="J32" s="13">
        <v>53.65</v>
      </c>
      <c r="K32" s="13">
        <v>62.57</v>
      </c>
    </row>
    <row r="33">
      <c r="A33" s="11">
        <v>74.0</v>
      </c>
      <c r="B33" s="13">
        <v>1913.11</v>
      </c>
      <c r="C33" s="13">
        <v>127.32</v>
      </c>
      <c r="D33" s="13">
        <v>138.51</v>
      </c>
      <c r="E33" s="13">
        <v>119.27</v>
      </c>
      <c r="F33" s="13">
        <v>215.08</v>
      </c>
      <c r="G33" s="13">
        <v>168.39</v>
      </c>
      <c r="H33" s="13">
        <v>82.43</v>
      </c>
      <c r="I33" s="13">
        <v>66.21</v>
      </c>
      <c r="J33" s="13">
        <v>133.86</v>
      </c>
      <c r="K33" s="13">
        <v>59.15</v>
      </c>
    </row>
    <row r="34">
      <c r="A34" s="11">
        <v>76.0</v>
      </c>
      <c r="B34" s="13">
        <v>499.98</v>
      </c>
      <c r="C34" s="13">
        <v>55.62</v>
      </c>
      <c r="D34" s="13">
        <v>39.8</v>
      </c>
      <c r="E34" s="13">
        <v>29.87</v>
      </c>
      <c r="F34" s="13">
        <v>24.63</v>
      </c>
      <c r="G34" s="13">
        <v>22.1</v>
      </c>
      <c r="H34" s="13">
        <v>24.6</v>
      </c>
      <c r="I34" s="13">
        <v>22.75</v>
      </c>
      <c r="J34" s="13">
        <v>26.74</v>
      </c>
      <c r="K34" s="13">
        <v>33.96</v>
      </c>
    </row>
    <row r="35">
      <c r="A35" s="11">
        <v>77.0</v>
      </c>
      <c r="B35" s="13">
        <v>880.73</v>
      </c>
      <c r="C35" s="13">
        <v>47.99</v>
      </c>
      <c r="D35" s="13">
        <v>61.84</v>
      </c>
      <c r="E35" s="13">
        <v>45.27</v>
      </c>
      <c r="F35" s="13">
        <v>90.79</v>
      </c>
      <c r="G35" s="13">
        <v>39.78</v>
      </c>
      <c r="H35" s="13">
        <v>48.19</v>
      </c>
      <c r="I35" s="13">
        <v>31.94</v>
      </c>
      <c r="J35" s="13">
        <v>41.59</v>
      </c>
      <c r="K35" s="13">
        <v>34.55</v>
      </c>
    </row>
    <row r="36">
      <c r="A36" s="11">
        <v>78.0</v>
      </c>
      <c r="B36" s="13">
        <v>1292.26</v>
      </c>
      <c r="C36" s="13">
        <v>73.23</v>
      </c>
      <c r="D36" s="13">
        <v>45.49</v>
      </c>
      <c r="E36" s="13">
        <v>38.47</v>
      </c>
      <c r="F36" s="13">
        <v>141.56</v>
      </c>
      <c r="G36" s="13">
        <v>34.55</v>
      </c>
      <c r="H36" s="13">
        <v>91.04</v>
      </c>
      <c r="I36" s="13">
        <v>101.39</v>
      </c>
      <c r="J36" s="13">
        <v>69.02</v>
      </c>
      <c r="K36" s="13">
        <v>54.57</v>
      </c>
    </row>
    <row r="37">
      <c r="A37" s="11">
        <v>79.0</v>
      </c>
      <c r="B37" s="13">
        <v>1200.16</v>
      </c>
      <c r="C37" s="13">
        <v>143.94</v>
      </c>
      <c r="D37" s="13">
        <v>49.3</v>
      </c>
      <c r="E37" s="13">
        <v>109.95</v>
      </c>
      <c r="F37" s="13">
        <v>72.53</v>
      </c>
      <c r="G37" s="13">
        <v>44.97</v>
      </c>
      <c r="H37" s="13">
        <v>67.0</v>
      </c>
      <c r="I37" s="13">
        <v>120.5</v>
      </c>
      <c r="J37" s="13">
        <v>68.81</v>
      </c>
      <c r="K37" s="13">
        <v>77.49</v>
      </c>
    </row>
    <row r="38">
      <c r="A38" s="11">
        <v>80.0</v>
      </c>
      <c r="B38" s="13">
        <v>786.69</v>
      </c>
      <c r="C38" s="13">
        <v>74.7</v>
      </c>
      <c r="D38" s="13">
        <v>83.97</v>
      </c>
      <c r="E38" s="13">
        <v>85.88</v>
      </c>
      <c r="F38" s="13">
        <v>23.87</v>
      </c>
      <c r="G38" s="13">
        <v>41.68</v>
      </c>
      <c r="H38" s="13">
        <v>22.94</v>
      </c>
      <c r="I38" s="13">
        <v>20.98</v>
      </c>
      <c r="J38" s="13">
        <v>32.08</v>
      </c>
      <c r="K38" s="13">
        <v>46.33</v>
      </c>
    </row>
    <row r="39">
      <c r="A39" s="11">
        <v>81.0</v>
      </c>
      <c r="B39" s="13">
        <v>2037.24</v>
      </c>
      <c r="C39" s="13">
        <v>125.36</v>
      </c>
      <c r="D39" s="13">
        <v>219.44</v>
      </c>
      <c r="E39" s="13">
        <v>86.29</v>
      </c>
      <c r="F39" s="13">
        <v>89.01</v>
      </c>
      <c r="G39" s="13">
        <v>54.45</v>
      </c>
      <c r="H39" s="13">
        <v>262.04</v>
      </c>
      <c r="I39" s="13">
        <v>152.13</v>
      </c>
      <c r="J39" s="13">
        <v>64.33</v>
      </c>
      <c r="K39" s="13">
        <v>126.97</v>
      </c>
    </row>
    <row r="40">
      <c r="A40" s="11">
        <v>82.0</v>
      </c>
      <c r="B40" s="13">
        <v>1688.2</v>
      </c>
      <c r="C40" s="13">
        <v>88.28</v>
      </c>
      <c r="D40" s="13">
        <v>112.93</v>
      </c>
      <c r="E40" s="13">
        <v>91.84</v>
      </c>
      <c r="F40" s="13">
        <v>71.87</v>
      </c>
      <c r="G40" s="13">
        <v>100.75</v>
      </c>
      <c r="H40" s="13">
        <v>55.83</v>
      </c>
      <c r="I40" s="13">
        <v>117.43</v>
      </c>
      <c r="J40" s="13">
        <v>47.02</v>
      </c>
      <c r="K40" s="13">
        <v>58.03</v>
      </c>
    </row>
    <row r="41">
      <c r="A41" s="11">
        <v>83.0</v>
      </c>
      <c r="B41" s="13">
        <v>581.05</v>
      </c>
      <c r="C41" s="13">
        <v>54.77</v>
      </c>
      <c r="D41" s="13">
        <v>36.37</v>
      </c>
      <c r="E41" s="13">
        <v>26.0</v>
      </c>
      <c r="F41" s="13">
        <v>30.7</v>
      </c>
      <c r="G41" s="13">
        <v>15.77</v>
      </c>
      <c r="H41" s="13">
        <v>32.82</v>
      </c>
      <c r="I41" s="13">
        <v>32.31</v>
      </c>
      <c r="J41" s="13">
        <v>42.44</v>
      </c>
      <c r="K41" s="13">
        <v>36.43</v>
      </c>
    </row>
    <row r="42">
      <c r="A42" s="11">
        <v>84.0</v>
      </c>
      <c r="B42" s="13">
        <v>1135.58</v>
      </c>
      <c r="C42" s="13">
        <v>83.57</v>
      </c>
      <c r="D42" s="13">
        <v>60.59</v>
      </c>
      <c r="E42" s="13">
        <v>80.51</v>
      </c>
      <c r="F42" s="13">
        <v>56.25</v>
      </c>
      <c r="G42" s="13">
        <v>67.79</v>
      </c>
      <c r="H42" s="13">
        <v>54.63</v>
      </c>
      <c r="I42" s="13">
        <v>33.89</v>
      </c>
      <c r="J42" s="13">
        <v>51.59</v>
      </c>
      <c r="K42" s="13">
        <v>70.87</v>
      </c>
    </row>
    <row r="43">
      <c r="A43" s="11">
        <v>87.0</v>
      </c>
      <c r="B43" s="13">
        <v>1814.81</v>
      </c>
      <c r="C43" s="13">
        <v>91.61</v>
      </c>
      <c r="D43" s="13">
        <v>59.41</v>
      </c>
      <c r="E43" s="13">
        <v>45.02</v>
      </c>
      <c r="F43" s="13">
        <v>52.12</v>
      </c>
      <c r="G43" s="13">
        <v>76.04</v>
      </c>
      <c r="H43" s="13">
        <v>100.33</v>
      </c>
      <c r="I43" s="13">
        <v>66.32</v>
      </c>
      <c r="J43" s="13">
        <v>77.27</v>
      </c>
      <c r="K43" s="13">
        <v>120.79</v>
      </c>
    </row>
    <row r="44">
      <c r="A44" s="11">
        <v>88.0</v>
      </c>
      <c r="B44" s="13">
        <v>1077.7</v>
      </c>
      <c r="C44" s="13">
        <v>101.77</v>
      </c>
      <c r="D44" s="13">
        <v>59.97</v>
      </c>
      <c r="E44" s="13">
        <v>44.04</v>
      </c>
      <c r="F44" s="13">
        <v>41.68</v>
      </c>
      <c r="G44" s="13">
        <v>26.92</v>
      </c>
      <c r="H44" s="13">
        <v>68.57</v>
      </c>
      <c r="I44" s="13">
        <v>52.27</v>
      </c>
      <c r="J44" s="13">
        <v>56.46</v>
      </c>
      <c r="K44" s="13">
        <v>52.13</v>
      </c>
    </row>
    <row r="45">
      <c r="A45" s="11">
        <v>89.0</v>
      </c>
      <c r="B45" s="13">
        <v>838.04</v>
      </c>
      <c r="C45" s="13">
        <v>32.48</v>
      </c>
      <c r="D45" s="13">
        <v>45.87</v>
      </c>
      <c r="E45" s="13">
        <v>53.89</v>
      </c>
      <c r="F45" s="13">
        <v>68.02</v>
      </c>
      <c r="G45" s="13">
        <v>33.91</v>
      </c>
      <c r="H45" s="13">
        <v>60.72</v>
      </c>
      <c r="I45" s="13">
        <v>106.57</v>
      </c>
      <c r="J45" s="13">
        <v>43.22</v>
      </c>
      <c r="K45" s="13">
        <v>61.21</v>
      </c>
    </row>
    <row r="46">
      <c r="A46" s="11">
        <v>91.0</v>
      </c>
      <c r="B46" s="13">
        <v>805.46</v>
      </c>
      <c r="C46" s="13">
        <v>18.79</v>
      </c>
      <c r="D46" s="13">
        <v>47.72</v>
      </c>
      <c r="E46" s="13">
        <v>45.39</v>
      </c>
      <c r="F46" s="13">
        <v>28.01</v>
      </c>
      <c r="G46" s="13">
        <v>56.95</v>
      </c>
      <c r="H46" s="13">
        <v>39.77</v>
      </c>
      <c r="I46" s="13">
        <v>89.51</v>
      </c>
      <c r="J46" s="13">
        <v>18.67</v>
      </c>
      <c r="K46" s="13">
        <v>54.87</v>
      </c>
    </row>
    <row r="47">
      <c r="A47" s="11">
        <v>93.0</v>
      </c>
      <c r="B47" s="13">
        <v>1407.17</v>
      </c>
      <c r="C47" s="13">
        <v>122.6</v>
      </c>
      <c r="D47" s="13">
        <v>129.29</v>
      </c>
      <c r="E47" s="13">
        <v>147.69</v>
      </c>
      <c r="F47" s="13">
        <v>104.1</v>
      </c>
      <c r="G47" s="13">
        <v>116.33</v>
      </c>
      <c r="H47" s="13">
        <v>33.07</v>
      </c>
      <c r="I47" s="13">
        <v>70.96</v>
      </c>
      <c r="J47" s="13">
        <v>66.38</v>
      </c>
      <c r="K47" s="13">
        <v>69.89</v>
      </c>
    </row>
    <row r="48">
      <c r="A48" s="11">
        <v>95.0</v>
      </c>
      <c r="B48" s="13">
        <v>689.88</v>
      </c>
      <c r="C48" s="13">
        <v>57.07</v>
      </c>
      <c r="D48" s="13">
        <v>45.07</v>
      </c>
      <c r="E48" s="13">
        <v>56.84</v>
      </c>
      <c r="F48" s="13">
        <v>87.3</v>
      </c>
      <c r="G48" s="13">
        <v>48.46</v>
      </c>
      <c r="H48" s="13">
        <v>76.52</v>
      </c>
      <c r="I48" s="13">
        <v>74.07</v>
      </c>
      <c r="J48" s="13">
        <v>29.78</v>
      </c>
      <c r="K48" s="13">
        <v>38.36</v>
      </c>
    </row>
    <row r="49">
      <c r="A49" s="11">
        <v>97.0</v>
      </c>
      <c r="B49" s="13">
        <v>996.21</v>
      </c>
      <c r="C49" s="13">
        <v>161.1</v>
      </c>
      <c r="D49" s="13">
        <v>27.3</v>
      </c>
      <c r="E49" s="13">
        <v>36.54</v>
      </c>
      <c r="F49" s="13">
        <v>42.33</v>
      </c>
      <c r="G49" s="13">
        <v>153.83</v>
      </c>
      <c r="H49" s="13">
        <v>57.26</v>
      </c>
      <c r="I49" s="13">
        <v>61.34</v>
      </c>
      <c r="J49" s="13">
        <v>70.78</v>
      </c>
      <c r="K49" s="13">
        <v>28.03</v>
      </c>
    </row>
    <row r="50">
      <c r="A50" s="11">
        <v>99.0</v>
      </c>
      <c r="B50" s="13">
        <v>1846.87</v>
      </c>
      <c r="C50" s="13">
        <v>97.0</v>
      </c>
      <c r="D50" s="13">
        <v>47.81</v>
      </c>
      <c r="E50" s="13">
        <v>58.42</v>
      </c>
      <c r="F50" s="13">
        <v>63.91</v>
      </c>
      <c r="G50" s="13">
        <v>69.08</v>
      </c>
      <c r="H50" s="13">
        <v>65.26</v>
      </c>
      <c r="I50" s="13">
        <v>127.64</v>
      </c>
      <c r="J50" s="13">
        <v>82.38</v>
      </c>
      <c r="K50" s="13">
        <v>101.69</v>
      </c>
    </row>
    <row r="51">
      <c r="A51" s="11">
        <v>100.0</v>
      </c>
      <c r="B51" s="13">
        <v>699.53</v>
      </c>
      <c r="C51" s="13">
        <v>51.82</v>
      </c>
      <c r="D51" s="13">
        <v>34.84</v>
      </c>
      <c r="E51" s="13">
        <v>38.01</v>
      </c>
      <c r="F51" s="13">
        <v>43.04</v>
      </c>
      <c r="G51" s="13">
        <v>48.77</v>
      </c>
      <c r="H51" s="13">
        <v>106.19</v>
      </c>
      <c r="I51" s="13">
        <v>32.22</v>
      </c>
      <c r="J51" s="13">
        <v>58.31</v>
      </c>
      <c r="K51" s="13">
        <v>61.12</v>
      </c>
    </row>
    <row r="52">
      <c r="A52" s="11">
        <v>101.0</v>
      </c>
      <c r="B52" s="13">
        <v>1090.69</v>
      </c>
      <c r="C52" s="13">
        <v>57.41</v>
      </c>
      <c r="D52" s="13">
        <v>61.0</v>
      </c>
      <c r="E52" s="13">
        <v>53.54</v>
      </c>
      <c r="F52" s="13">
        <v>130.4</v>
      </c>
      <c r="G52" s="13">
        <v>113.13</v>
      </c>
      <c r="H52" s="13">
        <v>23.76</v>
      </c>
      <c r="I52" s="13">
        <v>44.12</v>
      </c>
      <c r="J52" s="13">
        <v>33.66</v>
      </c>
      <c r="K52" s="13">
        <v>27.25</v>
      </c>
    </row>
    <row r="53">
      <c r="A53" s="11">
        <v>104.0</v>
      </c>
      <c r="B53" s="13">
        <v>568.98</v>
      </c>
      <c r="C53" s="13">
        <v>96.43</v>
      </c>
      <c r="D53" s="13">
        <v>35.07</v>
      </c>
      <c r="E53" s="13">
        <v>33.44</v>
      </c>
      <c r="F53" s="13">
        <v>35.26</v>
      </c>
      <c r="G53" s="13">
        <v>47.37</v>
      </c>
      <c r="H53" s="13">
        <v>36.72</v>
      </c>
      <c r="I53" s="13">
        <v>44.73</v>
      </c>
      <c r="J53" s="13">
        <v>20.26</v>
      </c>
      <c r="K53" s="13">
        <v>27.4</v>
      </c>
    </row>
    <row r="54">
      <c r="A54" s="11">
        <v>106.0</v>
      </c>
      <c r="B54" s="13">
        <v>967.77</v>
      </c>
      <c r="C54" s="13">
        <v>102.35</v>
      </c>
      <c r="D54" s="13">
        <v>53.1</v>
      </c>
      <c r="E54" s="13">
        <v>41.1</v>
      </c>
      <c r="F54" s="13">
        <v>38.9</v>
      </c>
      <c r="G54" s="13">
        <v>39.36</v>
      </c>
      <c r="H54" s="13">
        <v>35.38</v>
      </c>
      <c r="I54" s="13">
        <v>55.63</v>
      </c>
      <c r="J54" s="13">
        <v>35.09</v>
      </c>
      <c r="K54" s="13">
        <v>58.54</v>
      </c>
    </row>
    <row r="55">
      <c r="A55" s="11">
        <v>108.0</v>
      </c>
      <c r="B55" s="13">
        <v>1583.94</v>
      </c>
      <c r="C55" s="13">
        <v>156.63</v>
      </c>
      <c r="D55" s="13">
        <v>43.1</v>
      </c>
      <c r="E55" s="13">
        <v>33.8</v>
      </c>
      <c r="F55" s="13">
        <v>29.94</v>
      </c>
      <c r="G55" s="13">
        <v>351.43</v>
      </c>
      <c r="H55" s="13">
        <v>30.72</v>
      </c>
      <c r="I55" s="13">
        <v>93.68</v>
      </c>
      <c r="J55" s="13">
        <v>72.3</v>
      </c>
      <c r="K55" s="13">
        <v>78.77</v>
      </c>
    </row>
    <row r="56">
      <c r="A56" s="11">
        <v>109.0</v>
      </c>
      <c r="B56" s="13">
        <v>1074.99</v>
      </c>
      <c r="C56" s="13">
        <v>38.87</v>
      </c>
      <c r="D56" s="13">
        <v>33.48</v>
      </c>
      <c r="E56" s="13">
        <v>32.2</v>
      </c>
      <c r="F56" s="13">
        <v>35.19</v>
      </c>
      <c r="G56" s="13">
        <v>42.4</v>
      </c>
      <c r="H56" s="13">
        <v>31.14</v>
      </c>
      <c r="I56" s="13">
        <v>39.34</v>
      </c>
      <c r="J56" s="13">
        <v>38.62</v>
      </c>
      <c r="K56" s="13">
        <v>29.65</v>
      </c>
    </row>
    <row r="57">
      <c r="A57" s="11">
        <v>111.0</v>
      </c>
      <c r="B57" s="13">
        <v>1996.38</v>
      </c>
      <c r="C57" s="13">
        <v>200.34</v>
      </c>
      <c r="D57" s="13">
        <v>76.67</v>
      </c>
      <c r="E57" s="13">
        <v>114.2</v>
      </c>
      <c r="F57" s="13">
        <v>171.49</v>
      </c>
      <c r="G57" s="13">
        <v>322.13</v>
      </c>
      <c r="H57" s="13">
        <v>157.93</v>
      </c>
      <c r="I57" s="13">
        <v>130.15</v>
      </c>
      <c r="J57" s="13">
        <v>125.51</v>
      </c>
      <c r="K57" s="13">
        <v>59.43</v>
      </c>
    </row>
    <row r="58">
      <c r="A58" s="11">
        <v>112.0</v>
      </c>
      <c r="B58" s="13">
        <v>1939.22</v>
      </c>
      <c r="C58" s="13">
        <v>66.0</v>
      </c>
      <c r="D58" s="13">
        <v>83.2</v>
      </c>
      <c r="E58" s="13">
        <v>108.47</v>
      </c>
      <c r="F58" s="13">
        <v>103.62</v>
      </c>
      <c r="G58" s="13">
        <v>77.33</v>
      </c>
      <c r="H58" s="13">
        <v>67.28</v>
      </c>
      <c r="I58" s="13">
        <v>357.74</v>
      </c>
      <c r="J58" s="13">
        <v>54.46</v>
      </c>
      <c r="K58" s="13">
        <v>163.86</v>
      </c>
    </row>
    <row r="59">
      <c r="A59" s="11">
        <v>113.0</v>
      </c>
      <c r="B59" s="13">
        <v>921.58</v>
      </c>
      <c r="C59" s="13">
        <v>50.7</v>
      </c>
      <c r="D59" s="13">
        <v>58.53</v>
      </c>
      <c r="E59" s="13">
        <v>28.41</v>
      </c>
      <c r="F59" s="13">
        <v>40.9</v>
      </c>
      <c r="G59" s="13">
        <v>36.89</v>
      </c>
      <c r="H59" s="13">
        <v>52.7</v>
      </c>
      <c r="I59" s="13">
        <v>50.0</v>
      </c>
      <c r="J59" s="13">
        <v>73.43</v>
      </c>
      <c r="K59" s="13">
        <v>71.73</v>
      </c>
    </row>
    <row r="60">
      <c r="B60" s="55">
        <f t="shared" ref="B60:K60" si="1">MEDIAN(B2:B59)</f>
        <v>1076.345</v>
      </c>
      <c r="C60" s="55">
        <f t="shared" si="1"/>
        <v>66.905</v>
      </c>
      <c r="D60" s="55">
        <f t="shared" si="1"/>
        <v>48.555</v>
      </c>
      <c r="E60" s="55">
        <f t="shared" si="1"/>
        <v>50.055</v>
      </c>
      <c r="F60" s="55">
        <f t="shared" si="1"/>
        <v>46.325</v>
      </c>
      <c r="G60" s="55">
        <f t="shared" si="1"/>
        <v>50.62</v>
      </c>
      <c r="H60" s="55">
        <f t="shared" si="1"/>
        <v>55.23</v>
      </c>
      <c r="I60" s="55">
        <f t="shared" si="1"/>
        <v>56.27</v>
      </c>
      <c r="J60" s="55">
        <f t="shared" si="1"/>
        <v>47.02</v>
      </c>
      <c r="K60" s="55">
        <f t="shared" si="1"/>
        <v>59.235</v>
      </c>
    </row>
    <row r="61">
      <c r="B61" s="55">
        <f>B60/60</f>
        <v>17.93908333</v>
      </c>
    </row>
    <row r="65">
      <c r="B65" s="6" t="s">
        <v>73</v>
      </c>
      <c r="C65" s="6" t="s">
        <v>931</v>
      </c>
    </row>
    <row r="66">
      <c r="B66" s="6" t="s">
        <v>875</v>
      </c>
      <c r="C66" s="55">
        <v>66.905</v>
      </c>
    </row>
    <row r="67">
      <c r="B67" s="6" t="s">
        <v>876</v>
      </c>
      <c r="C67" s="55">
        <v>48.555</v>
      </c>
    </row>
    <row r="68">
      <c r="B68" s="6" t="s">
        <v>877</v>
      </c>
      <c r="C68" s="55">
        <v>50.055</v>
      </c>
    </row>
    <row r="69">
      <c r="B69" s="6" t="s">
        <v>878</v>
      </c>
      <c r="C69" s="55">
        <v>46.325</v>
      </c>
    </row>
    <row r="70">
      <c r="B70" s="6" t="s">
        <v>880</v>
      </c>
      <c r="C70" s="55">
        <v>50.62</v>
      </c>
    </row>
    <row r="71">
      <c r="B71" s="6" t="s">
        <v>881</v>
      </c>
      <c r="C71" s="55">
        <v>55.230000000000004</v>
      </c>
    </row>
    <row r="72">
      <c r="B72" s="6" t="s">
        <v>882</v>
      </c>
      <c r="C72" s="55">
        <v>56.269999999999996</v>
      </c>
    </row>
    <row r="73">
      <c r="B73" s="6" t="s">
        <v>883</v>
      </c>
      <c r="C73" s="55">
        <v>47.02</v>
      </c>
    </row>
    <row r="74">
      <c r="B74" s="6" t="s">
        <v>884</v>
      </c>
      <c r="C74" s="55">
        <v>59.235</v>
      </c>
    </row>
    <row r="84">
      <c r="A84" s="56" t="s">
        <v>5</v>
      </c>
      <c r="B84" s="56" t="s">
        <v>932</v>
      </c>
      <c r="C84" s="56" t="s">
        <v>933</v>
      </c>
      <c r="D84" s="56" t="s">
        <v>195</v>
      </c>
      <c r="E84" s="56" t="s">
        <v>934</v>
      </c>
      <c r="F84" s="56" t="s">
        <v>935</v>
      </c>
    </row>
    <row r="85">
      <c r="A85" s="57" t="s">
        <v>936</v>
      </c>
      <c r="B85" s="57">
        <v>77.07</v>
      </c>
      <c r="C85" s="57">
        <v>68.12</v>
      </c>
      <c r="D85" s="57">
        <v>39.45</v>
      </c>
      <c r="E85" s="57">
        <v>14.09</v>
      </c>
      <c r="F85" s="57">
        <v>200.34</v>
      </c>
    </row>
    <row r="86">
      <c r="A86" s="57" t="s">
        <v>507</v>
      </c>
      <c r="B86" s="57">
        <v>62.1</v>
      </c>
      <c r="C86" s="57">
        <v>50.15</v>
      </c>
      <c r="D86" s="57">
        <v>40.07</v>
      </c>
      <c r="E86" s="57">
        <v>16.99</v>
      </c>
      <c r="F86" s="57">
        <v>219.44</v>
      </c>
    </row>
    <row r="87">
      <c r="A87" s="57" t="s">
        <v>509</v>
      </c>
      <c r="B87" s="57">
        <v>61.75</v>
      </c>
      <c r="C87" s="57">
        <v>52.86</v>
      </c>
      <c r="D87" s="57">
        <v>33.4</v>
      </c>
      <c r="E87" s="57">
        <v>18.21</v>
      </c>
      <c r="F87" s="57">
        <v>160.64</v>
      </c>
    </row>
    <row r="88">
      <c r="A88" s="57" t="s">
        <v>510</v>
      </c>
      <c r="B88" s="57">
        <v>58.59</v>
      </c>
      <c r="C88" s="57">
        <v>46.32</v>
      </c>
      <c r="D88" s="57">
        <v>37.46</v>
      </c>
      <c r="E88" s="57">
        <v>15.22</v>
      </c>
      <c r="F88" s="57">
        <v>215.08</v>
      </c>
    </row>
    <row r="89">
      <c r="A89" s="57" t="s">
        <v>511</v>
      </c>
      <c r="B89" s="57">
        <v>92.78</v>
      </c>
      <c r="C89" s="57">
        <v>52.18</v>
      </c>
      <c r="D89" s="57">
        <v>182.0</v>
      </c>
      <c r="E89" s="57">
        <v>15.05</v>
      </c>
      <c r="F89" s="57">
        <v>1346.03</v>
      </c>
    </row>
    <row r="90">
      <c r="A90" s="57" t="s">
        <v>512</v>
      </c>
      <c r="B90" s="57">
        <v>72.22</v>
      </c>
      <c r="C90" s="57">
        <v>55.23</v>
      </c>
      <c r="D90" s="57">
        <v>58.76</v>
      </c>
      <c r="E90" s="57">
        <v>21.18</v>
      </c>
      <c r="F90" s="57">
        <v>368.33</v>
      </c>
    </row>
    <row r="91">
      <c r="A91" s="57" t="s">
        <v>513</v>
      </c>
      <c r="B91" s="57">
        <v>79.92</v>
      </c>
      <c r="C91" s="57">
        <v>56.27</v>
      </c>
      <c r="D91" s="57">
        <v>78.27</v>
      </c>
      <c r="E91" s="57">
        <v>12.99</v>
      </c>
      <c r="F91" s="57">
        <v>444.46</v>
      </c>
    </row>
    <row r="92">
      <c r="A92" s="57" t="s">
        <v>514</v>
      </c>
      <c r="B92" s="57">
        <v>59.55</v>
      </c>
      <c r="C92" s="57">
        <v>49.31</v>
      </c>
      <c r="D92" s="57">
        <v>51.73</v>
      </c>
      <c r="E92" s="57">
        <v>16.75</v>
      </c>
      <c r="F92" s="57">
        <v>385.52</v>
      </c>
    </row>
    <row r="93">
      <c r="A93" s="57" t="s">
        <v>515</v>
      </c>
      <c r="B93" s="57">
        <v>61.68</v>
      </c>
      <c r="C93" s="57">
        <v>59.24</v>
      </c>
      <c r="D93" s="57">
        <v>34.57</v>
      </c>
      <c r="E93" s="57">
        <v>15.42</v>
      </c>
      <c r="F93" s="57">
        <v>184.0</v>
      </c>
    </row>
    <row r="98">
      <c r="C98" s="57"/>
      <c r="D98" s="57"/>
      <c r="E98" s="57"/>
    </row>
    <row r="99">
      <c r="C99" s="57"/>
      <c r="D99" s="57"/>
      <c r="E99" s="57"/>
    </row>
    <row r="100">
      <c r="C100" s="57"/>
      <c r="D100" s="57"/>
      <c r="E100" s="57"/>
    </row>
    <row r="101">
      <c r="C101" s="57"/>
      <c r="D101" s="57"/>
      <c r="E101" s="57"/>
    </row>
    <row r="102">
      <c r="C102" s="57"/>
      <c r="D102" s="57"/>
      <c r="E102" s="57"/>
    </row>
    <row r="103">
      <c r="C103" s="57"/>
      <c r="D103" s="57"/>
      <c r="E103" s="57"/>
    </row>
    <row r="104">
      <c r="C104" s="57"/>
      <c r="D104" s="57"/>
      <c r="E104" s="57"/>
    </row>
    <row r="105">
      <c r="C105" s="57"/>
      <c r="D105" s="57"/>
      <c r="E105" s="57"/>
    </row>
    <row r="106">
      <c r="C106" s="57"/>
      <c r="D106" s="57"/>
      <c r="E106" s="5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328</v>
      </c>
      <c r="B1" s="5"/>
      <c r="C1" s="5"/>
      <c r="D1" s="5"/>
      <c r="E1" s="5"/>
      <c r="F1" s="5"/>
      <c r="G1" s="5"/>
      <c r="H1" s="5"/>
      <c r="I1" s="5"/>
      <c r="J1" s="5"/>
    </row>
    <row r="2">
      <c r="A2" s="7"/>
      <c r="B2" s="8" t="s">
        <v>875</v>
      </c>
      <c r="C2" s="8" t="s">
        <v>876</v>
      </c>
      <c r="D2" s="8" t="s">
        <v>877</v>
      </c>
      <c r="E2" s="8" t="s">
        <v>878</v>
      </c>
      <c r="F2" s="8" t="s">
        <v>880</v>
      </c>
      <c r="G2" s="8" t="s">
        <v>881</v>
      </c>
      <c r="H2" s="8" t="s">
        <v>882</v>
      </c>
      <c r="I2" s="8" t="s">
        <v>883</v>
      </c>
      <c r="J2" s="8" t="s">
        <v>884</v>
      </c>
    </row>
    <row r="3">
      <c r="A3" s="9" t="s">
        <v>52</v>
      </c>
      <c r="B3" s="10">
        <v>77.0</v>
      </c>
      <c r="C3" s="10">
        <v>68.0</v>
      </c>
      <c r="D3" s="10">
        <v>68.0</v>
      </c>
      <c r="E3" s="10">
        <v>68.0</v>
      </c>
      <c r="F3" s="10">
        <v>58.0</v>
      </c>
      <c r="G3" s="10">
        <v>57.0</v>
      </c>
      <c r="H3" s="10">
        <v>57.0</v>
      </c>
      <c r="I3" s="10">
        <v>58.0</v>
      </c>
      <c r="J3" s="10">
        <v>57.0</v>
      </c>
    </row>
    <row r="4">
      <c r="A4" s="9" t="s">
        <v>67</v>
      </c>
      <c r="B4" s="10">
        <v>15.0</v>
      </c>
      <c r="C4" s="10">
        <v>24.0</v>
      </c>
      <c r="D4" s="10">
        <v>24.0</v>
      </c>
      <c r="E4" s="10">
        <v>24.0</v>
      </c>
      <c r="F4" s="10">
        <v>34.0</v>
      </c>
      <c r="G4" s="10">
        <v>35.0</v>
      </c>
      <c r="H4" s="10">
        <v>35.0</v>
      </c>
      <c r="I4" s="10">
        <v>34.0</v>
      </c>
      <c r="J4" s="10">
        <v>35.0</v>
      </c>
    </row>
    <row r="5">
      <c r="A5" s="9" t="s">
        <v>72</v>
      </c>
      <c r="B5" s="10">
        <v>70.6</v>
      </c>
      <c r="C5" s="10">
        <v>61.0</v>
      </c>
      <c r="D5" s="10">
        <v>54.7</v>
      </c>
      <c r="E5" s="10">
        <v>103.0</v>
      </c>
      <c r="F5" s="10">
        <v>90.9</v>
      </c>
      <c r="G5" s="10">
        <v>71.9</v>
      </c>
      <c r="H5" s="10">
        <v>79.5</v>
      </c>
      <c r="I5" s="10">
        <v>58.7</v>
      </c>
      <c r="J5" s="10">
        <v>61.6</v>
      </c>
    </row>
    <row r="6">
      <c r="A6" s="9" t="s">
        <v>83</v>
      </c>
      <c r="B6" s="10">
        <v>59.2</v>
      </c>
      <c r="C6" s="10">
        <v>48.2</v>
      </c>
      <c r="D6" s="10">
        <v>45.2</v>
      </c>
      <c r="E6" s="10">
        <v>52.6</v>
      </c>
      <c r="F6" s="10">
        <v>50.6</v>
      </c>
      <c r="G6" s="10">
        <v>55.2</v>
      </c>
      <c r="H6" s="10">
        <v>56.3</v>
      </c>
      <c r="I6" s="10">
        <v>47.0</v>
      </c>
      <c r="J6" s="10">
        <v>59.2</v>
      </c>
    </row>
    <row r="7">
      <c r="A7" s="9" t="s">
        <v>89</v>
      </c>
      <c r="B7" s="10">
        <v>35.5</v>
      </c>
      <c r="C7" s="10">
        <v>40.3</v>
      </c>
      <c r="D7" s="10">
        <v>34.3</v>
      </c>
      <c r="E7" s="10">
        <v>175.0</v>
      </c>
      <c r="F7" s="10">
        <v>179.0</v>
      </c>
      <c r="G7" s="10">
        <v>58.3</v>
      </c>
      <c r="H7" s="10">
        <v>77.6</v>
      </c>
      <c r="I7" s="10">
        <v>51.1</v>
      </c>
      <c r="J7" s="10">
        <v>34.3</v>
      </c>
    </row>
    <row r="8">
      <c r="A8" s="9" t="s">
        <v>92</v>
      </c>
      <c r="B8" s="10">
        <v>14.1</v>
      </c>
      <c r="C8" s="10">
        <v>16.5</v>
      </c>
      <c r="D8" s="10">
        <v>13.0</v>
      </c>
      <c r="E8" s="10">
        <v>15.2</v>
      </c>
      <c r="F8" s="10">
        <v>15.1</v>
      </c>
      <c r="G8" s="10">
        <v>21.2</v>
      </c>
      <c r="H8" s="10">
        <v>13.0</v>
      </c>
      <c r="I8" s="10">
        <v>16.8</v>
      </c>
      <c r="J8" s="10">
        <v>15.4</v>
      </c>
    </row>
    <row r="9">
      <c r="A9" s="9" t="s">
        <v>99</v>
      </c>
      <c r="B9" s="10">
        <v>200.0</v>
      </c>
      <c r="C9" s="10">
        <v>219.0</v>
      </c>
      <c r="D9" s="10">
        <v>161.0</v>
      </c>
      <c r="E9" s="10">
        <v>1346.0</v>
      </c>
      <c r="F9" s="10">
        <v>1346.0</v>
      </c>
      <c r="G9" s="10">
        <v>368.0</v>
      </c>
      <c r="H9" s="10">
        <v>444.0</v>
      </c>
      <c r="I9" s="10">
        <v>386.0</v>
      </c>
      <c r="J9" s="10">
        <v>184.0</v>
      </c>
    </row>
    <row r="10">
      <c r="A10" s="9" t="s">
        <v>889</v>
      </c>
      <c r="B10" s="10">
        <v>1.24</v>
      </c>
      <c r="C10" s="10">
        <v>2.41</v>
      </c>
      <c r="D10" s="10">
        <v>1.19</v>
      </c>
      <c r="E10" s="10">
        <v>5.73</v>
      </c>
      <c r="F10" s="10">
        <v>6.34</v>
      </c>
      <c r="G10" s="10">
        <v>3.17</v>
      </c>
      <c r="H10" s="10">
        <v>3.24</v>
      </c>
      <c r="I10" s="10">
        <v>4.82</v>
      </c>
      <c r="J10" s="10">
        <v>1.55</v>
      </c>
    </row>
    <row r="11">
      <c r="A11" s="9" t="s">
        <v>891</v>
      </c>
      <c r="B11" s="10">
        <v>0.274</v>
      </c>
      <c r="C11" s="10">
        <v>0.291</v>
      </c>
      <c r="D11" s="10">
        <v>0.291</v>
      </c>
      <c r="E11" s="10">
        <v>0.291</v>
      </c>
      <c r="F11" s="10">
        <v>0.314</v>
      </c>
      <c r="G11" s="10">
        <v>0.316</v>
      </c>
      <c r="H11" s="10">
        <v>0.316</v>
      </c>
      <c r="I11" s="10">
        <v>0.314</v>
      </c>
      <c r="J11" s="10">
        <v>0.316</v>
      </c>
    </row>
    <row r="12">
      <c r="A12" s="9" t="s">
        <v>339</v>
      </c>
      <c r="B12" s="10">
        <v>0.904</v>
      </c>
      <c r="C12" s="10">
        <v>0.73</v>
      </c>
      <c r="D12" s="10">
        <v>0.896</v>
      </c>
      <c r="E12" s="10">
        <v>0.407</v>
      </c>
      <c r="F12" s="10">
        <v>0.328</v>
      </c>
      <c r="G12" s="10">
        <v>0.677</v>
      </c>
      <c r="H12" s="10">
        <v>0.613</v>
      </c>
      <c r="I12" s="10">
        <v>0.555</v>
      </c>
      <c r="J12" s="10">
        <v>0.87</v>
      </c>
    </row>
    <row r="13">
      <c r="A13" s="18" t="s">
        <v>341</v>
      </c>
      <c r="B13" s="19" t="s">
        <v>65</v>
      </c>
      <c r="C13" s="19" t="s">
        <v>65</v>
      </c>
      <c r="D13" s="19" t="s">
        <v>65</v>
      </c>
      <c r="E13" s="19" t="s">
        <v>65</v>
      </c>
      <c r="F13" s="19" t="s">
        <v>65</v>
      </c>
      <c r="G13" s="19" t="s">
        <v>65</v>
      </c>
      <c r="H13" s="19" t="s">
        <v>65</v>
      </c>
      <c r="I13" s="19" t="s">
        <v>65</v>
      </c>
      <c r="J13" s="19" t="s">
        <v>65</v>
      </c>
    </row>
    <row r="16">
      <c r="A16" s="24" t="s">
        <v>343</v>
      </c>
      <c r="B16" s="5"/>
      <c r="C16" s="5"/>
      <c r="D16" s="5"/>
      <c r="E16" s="5"/>
    </row>
    <row r="17">
      <c r="A17" s="7"/>
      <c r="B17" s="7"/>
      <c r="C17" s="7"/>
      <c r="D17" s="8" t="s">
        <v>205</v>
      </c>
      <c r="E17" s="8" t="s">
        <v>48</v>
      </c>
    </row>
    <row r="18">
      <c r="A18" s="9" t="s">
        <v>876</v>
      </c>
      <c r="B18" s="9" t="s">
        <v>881</v>
      </c>
      <c r="C18" s="9" t="s">
        <v>214</v>
      </c>
      <c r="D18" s="10">
        <v>601.0</v>
      </c>
      <c r="E18" s="10">
        <v>0.074</v>
      </c>
    </row>
    <row r="19">
      <c r="A19" s="9" t="s">
        <v>877</v>
      </c>
      <c r="B19" s="9" t="s">
        <v>882</v>
      </c>
      <c r="C19" s="9" t="s">
        <v>214</v>
      </c>
      <c r="D19" s="10">
        <v>629.0</v>
      </c>
      <c r="E19" s="10">
        <v>0.118</v>
      </c>
    </row>
    <row r="20">
      <c r="A20" s="9" t="s">
        <v>878</v>
      </c>
      <c r="B20" s="9" t="s">
        <v>883</v>
      </c>
      <c r="C20" s="9" t="s">
        <v>214</v>
      </c>
      <c r="D20" s="10">
        <v>936.0</v>
      </c>
      <c r="E20" s="10">
        <v>0.536</v>
      </c>
    </row>
    <row r="21">
      <c r="A21" s="18" t="s">
        <v>880</v>
      </c>
      <c r="B21" s="18" t="s">
        <v>884</v>
      </c>
      <c r="C21" s="18" t="s">
        <v>214</v>
      </c>
      <c r="D21" s="19">
        <v>852.0</v>
      </c>
      <c r="E21" s="19">
        <v>0.843</v>
      </c>
    </row>
  </sheetData>
  <mergeCells count="2">
    <mergeCell ref="A1:J1"/>
    <mergeCell ref="A16:E16"/>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904</v>
      </c>
      <c r="B1" s="6" t="s">
        <v>905</v>
      </c>
      <c r="C1" s="6" t="s">
        <v>906</v>
      </c>
      <c r="D1" s="6" t="s">
        <v>907</v>
      </c>
      <c r="E1" s="6" t="s">
        <v>908</v>
      </c>
      <c r="F1" s="6" t="s">
        <v>909</v>
      </c>
      <c r="G1" s="6" t="s">
        <v>910</v>
      </c>
      <c r="H1" s="6" t="s">
        <v>911</v>
      </c>
      <c r="I1" s="6" t="s">
        <v>912</v>
      </c>
      <c r="J1" s="6" t="s">
        <v>913</v>
      </c>
      <c r="K1" s="6" t="s">
        <v>914</v>
      </c>
      <c r="L1" s="6" t="s">
        <v>915</v>
      </c>
      <c r="M1" s="6" t="s">
        <v>916</v>
      </c>
      <c r="N1" s="6" t="s">
        <v>917</v>
      </c>
      <c r="O1" s="6" t="s">
        <v>918</v>
      </c>
      <c r="P1" s="6" t="s">
        <v>919</v>
      </c>
      <c r="Q1" s="6" t="s">
        <v>920</v>
      </c>
      <c r="R1" s="6" t="s">
        <v>921</v>
      </c>
      <c r="S1" s="6" t="s">
        <v>922</v>
      </c>
      <c r="T1" s="6" t="s">
        <v>923</v>
      </c>
      <c r="U1" s="6" t="s">
        <v>924</v>
      </c>
      <c r="V1" s="6" t="s">
        <v>925</v>
      </c>
      <c r="W1" s="6" t="s">
        <v>926</v>
      </c>
      <c r="X1" s="6" t="s">
        <v>927</v>
      </c>
      <c r="Y1" s="6" t="s">
        <v>928</v>
      </c>
      <c r="Z1" s="6" t="s">
        <v>929</v>
      </c>
      <c r="AA1" s="6" t="s">
        <v>930</v>
      </c>
    </row>
    <row r="2">
      <c r="A2" s="6">
        <v>15.0</v>
      </c>
      <c r="B2" s="6">
        <v>4.0</v>
      </c>
      <c r="C2" s="6">
        <v>3.0</v>
      </c>
      <c r="D2" s="6">
        <v>1.0</v>
      </c>
      <c r="E2" s="6">
        <v>1.0</v>
      </c>
      <c r="F2" s="6">
        <v>1.0</v>
      </c>
      <c r="G2" s="6">
        <v>2.0</v>
      </c>
      <c r="H2" s="6">
        <v>2.0</v>
      </c>
      <c r="I2" s="6">
        <v>1.0</v>
      </c>
      <c r="J2" s="6">
        <v>1.0</v>
      </c>
      <c r="K2" s="6">
        <v>1.0</v>
      </c>
      <c r="L2" s="6">
        <v>1.0</v>
      </c>
      <c r="M2" s="6">
        <v>4.0</v>
      </c>
      <c r="N2" s="6">
        <v>1.0</v>
      </c>
      <c r="O2" s="6">
        <v>1.0</v>
      </c>
      <c r="P2" s="6">
        <v>1.0</v>
      </c>
      <c r="Q2" s="6">
        <v>2.0</v>
      </c>
      <c r="R2" s="6">
        <v>1.0</v>
      </c>
      <c r="S2" s="6">
        <v>4.0</v>
      </c>
      <c r="T2" s="6">
        <v>2.0</v>
      </c>
      <c r="U2" s="6">
        <v>5.0</v>
      </c>
      <c r="V2" s="6">
        <v>2.0</v>
      </c>
      <c r="W2" s="6">
        <v>1.0</v>
      </c>
      <c r="X2" s="6">
        <v>1.0</v>
      </c>
      <c r="Y2" s="6">
        <v>2.0</v>
      </c>
      <c r="Z2" s="6">
        <v>1.0</v>
      </c>
      <c r="AA2" s="6">
        <v>1.0</v>
      </c>
    </row>
    <row r="3">
      <c r="A3" s="6">
        <v>17.0</v>
      </c>
      <c r="B3" s="6">
        <v>2.0</v>
      </c>
      <c r="C3" s="6">
        <v>3.0</v>
      </c>
      <c r="D3" s="6">
        <v>1.0</v>
      </c>
      <c r="E3" s="6">
        <v>3.0</v>
      </c>
      <c r="F3" s="6">
        <v>0.0</v>
      </c>
      <c r="G3" s="6">
        <v>2.0</v>
      </c>
      <c r="H3" s="6">
        <v>5.0</v>
      </c>
      <c r="I3" s="6">
        <v>4.0</v>
      </c>
      <c r="J3" s="6">
        <v>1.0</v>
      </c>
      <c r="K3" s="6">
        <v>3.0</v>
      </c>
      <c r="L3" s="6">
        <v>0.0</v>
      </c>
      <c r="M3" s="6">
        <v>2.0</v>
      </c>
      <c r="N3" s="6">
        <v>5.0</v>
      </c>
      <c r="O3" s="6">
        <v>4.0</v>
      </c>
      <c r="P3" s="6">
        <v>1.0</v>
      </c>
      <c r="Q3" s="6">
        <v>2.0</v>
      </c>
      <c r="R3" s="6">
        <v>1.0</v>
      </c>
      <c r="S3" s="6">
        <v>4.0</v>
      </c>
      <c r="T3" s="6">
        <v>4.0</v>
      </c>
      <c r="U3" s="6">
        <v>4.0</v>
      </c>
      <c r="V3" s="6">
        <v>1.0</v>
      </c>
      <c r="W3" s="6">
        <v>3.0</v>
      </c>
      <c r="X3" s="6">
        <v>0.0</v>
      </c>
      <c r="Y3" s="6">
        <v>0.0</v>
      </c>
      <c r="Z3" s="6">
        <v>5.0</v>
      </c>
      <c r="AA3" s="6">
        <v>4.0</v>
      </c>
    </row>
    <row r="4">
      <c r="A4" s="6">
        <v>18.0</v>
      </c>
      <c r="B4" s="6">
        <v>3.0</v>
      </c>
      <c r="C4" s="6">
        <v>3.0</v>
      </c>
      <c r="D4" s="6">
        <v>1.0</v>
      </c>
      <c r="E4" s="6">
        <v>2.0</v>
      </c>
      <c r="F4" s="6">
        <v>1.0</v>
      </c>
      <c r="G4" s="6">
        <v>2.0</v>
      </c>
      <c r="H4" s="6">
        <v>1.0</v>
      </c>
      <c r="I4" s="6">
        <v>1.0</v>
      </c>
      <c r="J4" s="6">
        <v>1.0</v>
      </c>
      <c r="K4" s="6">
        <v>1.0</v>
      </c>
      <c r="L4" s="6">
        <v>1.0</v>
      </c>
      <c r="M4" s="6">
        <v>4.0</v>
      </c>
      <c r="N4" s="6">
        <v>1.0</v>
      </c>
      <c r="O4" s="6">
        <v>1.0</v>
      </c>
      <c r="P4" s="6">
        <v>1.0</v>
      </c>
      <c r="Q4" s="6">
        <v>2.0</v>
      </c>
      <c r="R4" s="6">
        <v>1.0</v>
      </c>
      <c r="S4" s="6">
        <v>4.0</v>
      </c>
      <c r="T4" s="6">
        <v>1.0</v>
      </c>
      <c r="U4" s="6">
        <v>1.0</v>
      </c>
      <c r="V4" s="6">
        <v>1.0</v>
      </c>
      <c r="W4" s="6">
        <v>2.0</v>
      </c>
      <c r="X4" s="6">
        <v>1.0</v>
      </c>
      <c r="Y4" s="6">
        <v>4.0</v>
      </c>
      <c r="Z4" s="6">
        <v>1.0</v>
      </c>
      <c r="AA4" s="6">
        <v>1.0</v>
      </c>
    </row>
    <row r="5">
      <c r="A5" s="6">
        <v>20.0</v>
      </c>
      <c r="B5" s="6">
        <v>3.0</v>
      </c>
      <c r="C5" s="6">
        <v>3.0</v>
      </c>
      <c r="D5" s="6">
        <v>1.0</v>
      </c>
      <c r="E5" s="6">
        <v>1.0</v>
      </c>
      <c r="F5" s="6">
        <v>1.0</v>
      </c>
      <c r="G5" s="6">
        <v>4.0</v>
      </c>
      <c r="H5" s="6">
        <v>3.0</v>
      </c>
      <c r="I5" s="6">
        <v>1.0</v>
      </c>
      <c r="J5" s="6">
        <v>1.0</v>
      </c>
      <c r="K5" s="6">
        <v>1.0</v>
      </c>
      <c r="L5" s="6">
        <v>1.0</v>
      </c>
      <c r="M5" s="6">
        <v>4.0</v>
      </c>
      <c r="N5" s="6">
        <v>3.0</v>
      </c>
      <c r="O5" s="6">
        <v>1.0</v>
      </c>
      <c r="P5" s="6">
        <v>1.0</v>
      </c>
      <c r="Q5" s="6">
        <v>1.0</v>
      </c>
      <c r="R5" s="6">
        <v>1.0</v>
      </c>
      <c r="S5" s="6">
        <v>4.0</v>
      </c>
      <c r="T5" s="6">
        <v>3.0</v>
      </c>
      <c r="U5" s="6">
        <v>1.0</v>
      </c>
      <c r="V5" s="6">
        <v>1.0</v>
      </c>
      <c r="W5" s="6">
        <v>2.0</v>
      </c>
      <c r="X5" s="6">
        <v>1.0</v>
      </c>
      <c r="Y5" s="6">
        <v>4.0</v>
      </c>
      <c r="Z5" s="6">
        <v>3.0</v>
      </c>
      <c r="AA5" s="6">
        <v>1.0</v>
      </c>
    </row>
    <row r="6">
      <c r="A6" s="6">
        <v>21.0</v>
      </c>
      <c r="B6" s="6">
        <v>6.0</v>
      </c>
      <c r="C6" s="6">
        <v>3.0</v>
      </c>
      <c r="D6" s="6">
        <v>1.0</v>
      </c>
      <c r="E6" s="6">
        <v>1.0</v>
      </c>
      <c r="F6" s="6">
        <v>1.0</v>
      </c>
      <c r="G6" s="6">
        <v>2.0</v>
      </c>
      <c r="H6" s="6">
        <v>2.0</v>
      </c>
      <c r="I6" s="6">
        <v>1.0</v>
      </c>
      <c r="J6" s="6">
        <v>1.0</v>
      </c>
      <c r="K6" s="6">
        <v>2.0</v>
      </c>
      <c r="L6" s="6">
        <v>1.0</v>
      </c>
      <c r="M6" s="6">
        <v>4.0</v>
      </c>
      <c r="N6" s="6">
        <v>2.0</v>
      </c>
      <c r="O6" s="6">
        <v>1.0</v>
      </c>
      <c r="P6" s="6">
        <v>1.0</v>
      </c>
      <c r="Q6" s="6">
        <v>3.0</v>
      </c>
      <c r="R6" s="6">
        <v>0.0</v>
      </c>
      <c r="S6" s="6">
        <v>0.0</v>
      </c>
      <c r="T6" s="6">
        <v>2.0</v>
      </c>
      <c r="U6" s="6">
        <v>1.0</v>
      </c>
      <c r="V6" s="6">
        <v>1.0</v>
      </c>
      <c r="W6" s="6">
        <v>2.0</v>
      </c>
      <c r="X6" s="6">
        <v>1.0</v>
      </c>
      <c r="Y6" s="6">
        <v>2.0</v>
      </c>
      <c r="Z6" s="6">
        <v>2.0</v>
      </c>
      <c r="AA6" s="6">
        <v>1.0</v>
      </c>
    </row>
    <row r="7">
      <c r="A7" s="6">
        <v>22.0</v>
      </c>
      <c r="B7" s="6">
        <v>5.0</v>
      </c>
      <c r="C7" s="6">
        <v>3.0</v>
      </c>
      <c r="D7" s="6">
        <v>1.0</v>
      </c>
      <c r="E7" s="6">
        <v>3.0</v>
      </c>
      <c r="F7" s="6">
        <v>0.0</v>
      </c>
      <c r="G7" s="6">
        <v>2.0</v>
      </c>
      <c r="H7" s="6">
        <v>3.0</v>
      </c>
      <c r="I7" s="6">
        <v>1.0</v>
      </c>
      <c r="J7" s="6">
        <v>1.0</v>
      </c>
      <c r="K7" s="6">
        <v>2.0</v>
      </c>
      <c r="L7" s="6">
        <v>1.0</v>
      </c>
      <c r="M7" s="6">
        <v>4.0</v>
      </c>
      <c r="N7" s="6">
        <v>4.0</v>
      </c>
      <c r="O7" s="6">
        <v>1.0</v>
      </c>
      <c r="P7" s="6">
        <v>1.0</v>
      </c>
      <c r="Q7" s="6">
        <v>3.0</v>
      </c>
      <c r="R7" s="6">
        <v>0.0</v>
      </c>
      <c r="S7" s="6">
        <v>0.0</v>
      </c>
      <c r="T7" s="6">
        <v>4.0</v>
      </c>
      <c r="U7" s="6">
        <v>1.0</v>
      </c>
      <c r="V7" s="6">
        <v>1.0</v>
      </c>
      <c r="W7" s="6">
        <v>2.0</v>
      </c>
      <c r="X7" s="6">
        <v>1.0</v>
      </c>
      <c r="Y7" s="6">
        <v>2.0</v>
      </c>
      <c r="Z7" s="6">
        <v>4.0</v>
      </c>
      <c r="AA7" s="6">
        <v>1.0</v>
      </c>
    </row>
    <row r="8">
      <c r="A8" s="6">
        <v>23.0</v>
      </c>
      <c r="B8" s="6">
        <v>1.0</v>
      </c>
      <c r="C8" s="6">
        <v>4.0</v>
      </c>
      <c r="D8" s="6">
        <v>1.0</v>
      </c>
      <c r="E8" s="6">
        <v>2.0</v>
      </c>
      <c r="F8" s="6">
        <v>1.0</v>
      </c>
      <c r="G8" s="6">
        <v>4.0</v>
      </c>
      <c r="H8" s="6">
        <v>3.0</v>
      </c>
      <c r="I8" s="6">
        <v>1.0</v>
      </c>
      <c r="J8" s="6">
        <v>1.0</v>
      </c>
      <c r="K8" s="6">
        <v>2.0</v>
      </c>
      <c r="L8" s="6">
        <v>1.0</v>
      </c>
      <c r="M8" s="6">
        <v>2.0</v>
      </c>
      <c r="N8" s="6">
        <v>3.0</v>
      </c>
      <c r="O8" s="6">
        <v>1.0</v>
      </c>
      <c r="P8" s="6">
        <v>1.0</v>
      </c>
      <c r="Q8" s="6">
        <v>2.0</v>
      </c>
      <c r="R8" s="6">
        <v>1.0</v>
      </c>
      <c r="S8" s="6">
        <v>4.0</v>
      </c>
      <c r="T8" s="6">
        <v>3.0</v>
      </c>
      <c r="U8" s="6">
        <v>2.0</v>
      </c>
      <c r="V8" s="6">
        <v>1.0</v>
      </c>
      <c r="W8" s="6">
        <v>2.0</v>
      </c>
      <c r="X8" s="6">
        <v>1.0</v>
      </c>
      <c r="Y8" s="6">
        <v>4.0</v>
      </c>
      <c r="Z8" s="6">
        <v>3.0</v>
      </c>
      <c r="AA8" s="6">
        <v>1.0</v>
      </c>
    </row>
    <row r="9">
      <c r="A9" s="6">
        <v>24.0</v>
      </c>
      <c r="B9" s="6">
        <v>2.0</v>
      </c>
      <c r="C9" s="6">
        <v>1.0</v>
      </c>
      <c r="D9" s="6">
        <v>1.0</v>
      </c>
      <c r="E9" s="6">
        <v>2.0</v>
      </c>
      <c r="F9" s="6">
        <v>1.0</v>
      </c>
      <c r="G9" s="6">
        <v>4.0</v>
      </c>
      <c r="H9" s="6">
        <v>3.0</v>
      </c>
      <c r="I9" s="6">
        <v>2.0</v>
      </c>
      <c r="J9" s="6">
        <v>2.0</v>
      </c>
      <c r="K9" s="6">
        <v>2.0</v>
      </c>
      <c r="L9" s="6">
        <v>0.0</v>
      </c>
      <c r="M9" s="6">
        <v>2.0</v>
      </c>
      <c r="N9" s="6">
        <v>2.0</v>
      </c>
      <c r="O9" s="6">
        <v>2.0</v>
      </c>
      <c r="P9" s="6">
        <v>1.0</v>
      </c>
      <c r="Q9" s="6">
        <v>2.0</v>
      </c>
      <c r="R9" s="6">
        <v>1.0</v>
      </c>
      <c r="S9" s="6">
        <v>2.0</v>
      </c>
      <c r="T9" s="6">
        <v>1.0</v>
      </c>
      <c r="U9" s="6">
        <v>2.0</v>
      </c>
      <c r="V9" s="6">
        <v>1.0</v>
      </c>
      <c r="W9" s="6">
        <v>2.0</v>
      </c>
      <c r="X9" s="6">
        <v>1.0</v>
      </c>
      <c r="Y9" s="6">
        <v>4.0</v>
      </c>
      <c r="Z9" s="6">
        <v>2.0</v>
      </c>
      <c r="AA9" s="6">
        <v>3.0</v>
      </c>
    </row>
    <row r="10">
      <c r="A10" s="6">
        <v>25.0</v>
      </c>
      <c r="B10" s="6">
        <v>1.0</v>
      </c>
      <c r="C10" s="6">
        <v>4.0</v>
      </c>
      <c r="D10" s="6">
        <v>1.0</v>
      </c>
      <c r="E10" s="6">
        <v>2.0</v>
      </c>
      <c r="F10" s="6">
        <v>1.0</v>
      </c>
      <c r="G10" s="6">
        <v>4.0</v>
      </c>
      <c r="H10" s="6">
        <v>3.0</v>
      </c>
      <c r="I10" s="6">
        <v>2.0</v>
      </c>
      <c r="J10" s="6">
        <v>1.0</v>
      </c>
      <c r="K10" s="6">
        <v>2.0</v>
      </c>
      <c r="L10" s="6">
        <v>1.0</v>
      </c>
      <c r="M10" s="6">
        <v>4.0</v>
      </c>
      <c r="N10" s="6">
        <v>3.0</v>
      </c>
      <c r="O10" s="6">
        <v>1.0</v>
      </c>
      <c r="P10" s="6">
        <v>1.0</v>
      </c>
      <c r="Q10" s="6">
        <v>2.0</v>
      </c>
      <c r="R10" s="6">
        <v>1.0</v>
      </c>
      <c r="S10" s="6">
        <v>4.0</v>
      </c>
      <c r="T10" s="6">
        <v>3.0</v>
      </c>
      <c r="U10" s="6">
        <v>2.0</v>
      </c>
      <c r="V10" s="6">
        <v>1.0</v>
      </c>
      <c r="W10" s="6">
        <v>1.0</v>
      </c>
      <c r="X10" s="6">
        <v>1.0</v>
      </c>
      <c r="Y10" s="6">
        <v>4.0</v>
      </c>
      <c r="Z10" s="6">
        <v>4.0</v>
      </c>
      <c r="AA10" s="6">
        <v>2.0</v>
      </c>
    </row>
    <row r="11">
      <c r="A11" s="6">
        <v>26.0</v>
      </c>
      <c r="B11" s="6">
        <v>2.0</v>
      </c>
      <c r="C11" s="6">
        <v>2.0</v>
      </c>
      <c r="D11" s="6">
        <v>1.0</v>
      </c>
      <c r="E11" s="6">
        <v>2.0</v>
      </c>
      <c r="F11" s="6">
        <v>1.0</v>
      </c>
      <c r="G11" s="6">
        <v>4.0</v>
      </c>
      <c r="H11" s="6">
        <v>2.0</v>
      </c>
      <c r="I11" s="6">
        <v>1.0</v>
      </c>
      <c r="J11" s="6">
        <v>1.0</v>
      </c>
      <c r="K11" s="6">
        <v>2.0</v>
      </c>
      <c r="L11" s="6">
        <v>1.0</v>
      </c>
      <c r="M11" s="6">
        <v>2.0</v>
      </c>
      <c r="N11" s="6">
        <v>3.0</v>
      </c>
      <c r="O11" s="6">
        <v>2.0</v>
      </c>
      <c r="P11" s="6">
        <v>1.0</v>
      </c>
      <c r="Q11" s="6">
        <v>2.0</v>
      </c>
      <c r="R11" s="6">
        <v>1.0</v>
      </c>
      <c r="S11" s="6">
        <v>4.0</v>
      </c>
      <c r="T11" s="6">
        <v>2.0</v>
      </c>
      <c r="U11" s="6">
        <v>2.0</v>
      </c>
      <c r="V11" s="6">
        <v>1.0</v>
      </c>
      <c r="W11" s="6">
        <v>3.0</v>
      </c>
      <c r="X11" s="6">
        <v>0.0</v>
      </c>
      <c r="Y11" s="6">
        <v>0.0</v>
      </c>
      <c r="Z11" s="6">
        <v>1.0</v>
      </c>
      <c r="AA11" s="6">
        <v>1.0</v>
      </c>
    </row>
    <row r="12">
      <c r="A12" s="6">
        <v>31.0</v>
      </c>
      <c r="B12" s="6">
        <v>3.0</v>
      </c>
      <c r="C12" s="6">
        <v>4.0</v>
      </c>
      <c r="D12" s="6">
        <v>1.0</v>
      </c>
      <c r="E12" s="6">
        <v>1.0</v>
      </c>
      <c r="F12" s="6">
        <v>1.0</v>
      </c>
      <c r="G12" s="6">
        <v>4.0</v>
      </c>
      <c r="H12" s="6">
        <v>4.0</v>
      </c>
      <c r="I12" s="6">
        <v>1.0</v>
      </c>
      <c r="J12" s="6">
        <v>1.0</v>
      </c>
      <c r="K12" s="6">
        <v>2.0</v>
      </c>
      <c r="L12" s="6">
        <v>1.0</v>
      </c>
      <c r="M12" s="6">
        <v>2.0</v>
      </c>
      <c r="N12" s="6">
        <v>4.0</v>
      </c>
      <c r="O12" s="6">
        <v>1.0</v>
      </c>
      <c r="P12" s="6">
        <v>1.0</v>
      </c>
      <c r="Q12" s="6">
        <v>2.0</v>
      </c>
      <c r="R12" s="6">
        <v>1.0</v>
      </c>
      <c r="S12" s="6">
        <v>4.0</v>
      </c>
      <c r="T12" s="6">
        <v>3.0</v>
      </c>
      <c r="U12" s="6">
        <v>1.0</v>
      </c>
      <c r="V12" s="6">
        <v>1.0</v>
      </c>
      <c r="W12" s="6">
        <v>2.0</v>
      </c>
      <c r="X12" s="6">
        <v>1.0</v>
      </c>
      <c r="Y12" s="6">
        <v>4.0</v>
      </c>
      <c r="Z12" s="6">
        <v>2.0</v>
      </c>
      <c r="AA12" s="6">
        <v>1.0</v>
      </c>
    </row>
    <row r="13">
      <c r="A13" s="6">
        <v>34.0</v>
      </c>
      <c r="B13" s="6">
        <v>2.0</v>
      </c>
      <c r="C13" s="6">
        <v>2.0</v>
      </c>
      <c r="D13" s="6">
        <v>3.0</v>
      </c>
      <c r="E13" s="6">
        <v>1.0</v>
      </c>
      <c r="F13" s="6">
        <v>0.0</v>
      </c>
      <c r="G13" s="6">
        <v>2.0</v>
      </c>
      <c r="H13" s="6">
        <v>1.0</v>
      </c>
      <c r="I13" s="6">
        <v>1.0</v>
      </c>
      <c r="J13" s="6">
        <v>1.0</v>
      </c>
      <c r="K13" s="6">
        <v>1.0</v>
      </c>
      <c r="L13" s="6">
        <v>1.0</v>
      </c>
      <c r="M13" s="6">
        <v>4.0</v>
      </c>
      <c r="N13" s="6">
        <v>1.0</v>
      </c>
      <c r="O13" s="6">
        <v>1.0</v>
      </c>
      <c r="P13" s="6">
        <v>1.0</v>
      </c>
      <c r="Q13" s="6">
        <v>2.0</v>
      </c>
      <c r="R13" s="6">
        <v>1.0</v>
      </c>
      <c r="S13" s="6">
        <v>2.0</v>
      </c>
      <c r="T13" s="6">
        <v>2.0</v>
      </c>
      <c r="U13" s="6">
        <v>1.0</v>
      </c>
      <c r="V13" s="6">
        <v>1.0</v>
      </c>
      <c r="W13" s="6">
        <v>1.0</v>
      </c>
      <c r="X13" s="6">
        <v>1.0</v>
      </c>
      <c r="Y13" s="6">
        <v>4.0</v>
      </c>
      <c r="Z13" s="6">
        <v>2.0</v>
      </c>
      <c r="AA13" s="6">
        <v>2.0</v>
      </c>
    </row>
    <row r="14">
      <c r="A14" s="6">
        <v>36.0</v>
      </c>
      <c r="B14" s="6">
        <v>2.0</v>
      </c>
      <c r="C14" s="6">
        <v>2.0</v>
      </c>
      <c r="D14" s="6">
        <v>1.0</v>
      </c>
      <c r="E14" s="6">
        <v>1.0</v>
      </c>
      <c r="F14" s="6">
        <v>1.0</v>
      </c>
      <c r="G14" s="6">
        <v>4.0</v>
      </c>
      <c r="H14" s="6">
        <v>2.0</v>
      </c>
      <c r="I14" s="6">
        <v>2.0</v>
      </c>
      <c r="J14" s="6">
        <v>1.0</v>
      </c>
      <c r="K14" s="6">
        <v>2.0</v>
      </c>
      <c r="L14" s="6">
        <v>1.0</v>
      </c>
      <c r="M14" s="6">
        <v>4.0</v>
      </c>
      <c r="N14" s="6">
        <v>2.0</v>
      </c>
      <c r="O14" s="6">
        <v>2.0</v>
      </c>
      <c r="P14" s="6">
        <v>1.0</v>
      </c>
      <c r="Q14" s="6">
        <v>2.0</v>
      </c>
      <c r="R14" s="6">
        <v>1.0</v>
      </c>
      <c r="S14" s="6">
        <v>2.0</v>
      </c>
      <c r="T14" s="6">
        <v>2.0</v>
      </c>
      <c r="U14" s="6">
        <v>2.0</v>
      </c>
      <c r="V14" s="6">
        <v>1.0</v>
      </c>
      <c r="W14" s="6">
        <v>2.0</v>
      </c>
      <c r="X14" s="6">
        <v>1.0</v>
      </c>
      <c r="Y14" s="6">
        <v>2.0</v>
      </c>
      <c r="Z14" s="6">
        <v>3.0</v>
      </c>
      <c r="AA14" s="6">
        <v>2.0</v>
      </c>
    </row>
    <row r="15">
      <c r="A15" s="6">
        <v>37.0</v>
      </c>
      <c r="B15" s="6">
        <v>1.0</v>
      </c>
      <c r="C15" s="6">
        <v>2.0</v>
      </c>
      <c r="D15" s="6">
        <v>1.0</v>
      </c>
      <c r="E15" s="6">
        <v>3.0</v>
      </c>
      <c r="F15" s="6">
        <v>0.0</v>
      </c>
      <c r="G15" s="6">
        <v>2.0</v>
      </c>
      <c r="H15" s="6">
        <v>4.0</v>
      </c>
      <c r="I15" s="6">
        <v>1.0</v>
      </c>
      <c r="J15" s="6">
        <v>1.0</v>
      </c>
      <c r="K15" s="6">
        <v>2.0</v>
      </c>
      <c r="L15" s="6">
        <v>1.0</v>
      </c>
      <c r="M15" s="6">
        <v>4.0</v>
      </c>
      <c r="N15" s="6">
        <v>4.0</v>
      </c>
      <c r="O15" s="6">
        <v>1.0</v>
      </c>
      <c r="P15" s="6">
        <v>1.0</v>
      </c>
      <c r="Q15" s="6">
        <v>2.0</v>
      </c>
      <c r="R15" s="6">
        <v>1.0</v>
      </c>
      <c r="S15" s="6">
        <v>4.0</v>
      </c>
      <c r="T15" s="6">
        <v>2.0</v>
      </c>
      <c r="U15" s="6">
        <v>1.0</v>
      </c>
      <c r="V15" s="6">
        <v>1.0</v>
      </c>
      <c r="W15" s="6">
        <v>2.0</v>
      </c>
      <c r="X15" s="6">
        <v>1.0</v>
      </c>
      <c r="Y15" s="6">
        <v>4.0</v>
      </c>
      <c r="Z15" s="6">
        <v>2.0</v>
      </c>
      <c r="AA15" s="6">
        <v>1.0</v>
      </c>
    </row>
    <row r="16">
      <c r="A16" s="6">
        <v>38.0</v>
      </c>
      <c r="B16" s="6">
        <v>2.0</v>
      </c>
      <c r="C16" s="6">
        <v>1.0</v>
      </c>
      <c r="D16" s="6">
        <v>1.0</v>
      </c>
      <c r="E16" s="6">
        <v>1.0</v>
      </c>
      <c r="F16" s="6">
        <v>1.0</v>
      </c>
      <c r="G16" s="6">
        <v>4.0</v>
      </c>
      <c r="H16" s="6">
        <v>1.0</v>
      </c>
      <c r="I16" s="6">
        <v>3.0</v>
      </c>
      <c r="J16" s="6">
        <v>2.0</v>
      </c>
      <c r="K16" s="6">
        <v>1.0</v>
      </c>
      <c r="L16" s="6">
        <v>1.0</v>
      </c>
      <c r="M16" s="6">
        <v>4.0</v>
      </c>
      <c r="N16" s="6">
        <v>1.0</v>
      </c>
      <c r="O16" s="6">
        <v>2.0</v>
      </c>
      <c r="P16" s="6">
        <v>1.0</v>
      </c>
      <c r="Q16" s="6">
        <v>1.0</v>
      </c>
      <c r="R16" s="6">
        <v>1.0</v>
      </c>
      <c r="S16" s="6">
        <v>4.0</v>
      </c>
      <c r="T16" s="6">
        <v>2.0</v>
      </c>
      <c r="U16" s="6">
        <v>2.0</v>
      </c>
      <c r="V16" s="6">
        <v>1.0</v>
      </c>
      <c r="W16" s="6">
        <v>1.0</v>
      </c>
      <c r="X16" s="6">
        <v>1.0</v>
      </c>
      <c r="Y16" s="6">
        <v>4.0</v>
      </c>
      <c r="Z16" s="6">
        <v>1.0</v>
      </c>
      <c r="AA16" s="6">
        <v>2.0</v>
      </c>
    </row>
    <row r="17">
      <c r="A17" s="6">
        <v>39.0</v>
      </c>
      <c r="B17" s="6">
        <v>2.0</v>
      </c>
      <c r="C17" s="6">
        <v>2.0</v>
      </c>
      <c r="D17" s="6">
        <v>1.0</v>
      </c>
      <c r="E17" s="6">
        <v>1.0</v>
      </c>
      <c r="F17" s="6">
        <v>1.0</v>
      </c>
      <c r="G17" s="6">
        <v>4.0</v>
      </c>
      <c r="H17" s="6">
        <v>2.0</v>
      </c>
      <c r="I17" s="6">
        <v>3.0</v>
      </c>
      <c r="J17" s="6">
        <v>2.0</v>
      </c>
      <c r="K17" s="6">
        <v>2.0</v>
      </c>
      <c r="L17" s="6">
        <v>0.0</v>
      </c>
      <c r="M17" s="6">
        <v>2.0</v>
      </c>
      <c r="N17" s="6">
        <v>3.0</v>
      </c>
      <c r="O17" s="6">
        <v>3.0</v>
      </c>
      <c r="P17" s="6">
        <v>1.0</v>
      </c>
      <c r="Q17" s="6">
        <v>1.0</v>
      </c>
      <c r="R17" s="6">
        <v>1.0</v>
      </c>
      <c r="S17" s="6">
        <v>4.0</v>
      </c>
      <c r="T17" s="6">
        <v>3.0</v>
      </c>
      <c r="U17" s="6">
        <v>3.0</v>
      </c>
      <c r="V17" s="6">
        <v>1.0</v>
      </c>
      <c r="W17" s="6">
        <v>1.0</v>
      </c>
      <c r="X17" s="6">
        <v>1.0</v>
      </c>
      <c r="Y17" s="6">
        <v>4.0</v>
      </c>
      <c r="Z17" s="6">
        <v>4.0</v>
      </c>
      <c r="AA17" s="6">
        <v>4.0</v>
      </c>
    </row>
    <row r="18">
      <c r="A18" s="6">
        <v>40.0</v>
      </c>
      <c r="B18" s="6">
        <v>3.0</v>
      </c>
      <c r="C18" s="6">
        <v>1.0</v>
      </c>
      <c r="D18" s="6">
        <v>1.0</v>
      </c>
      <c r="E18" s="6">
        <v>1.0</v>
      </c>
      <c r="F18" s="6">
        <v>1.0</v>
      </c>
      <c r="G18" s="6">
        <v>4.0</v>
      </c>
      <c r="H18" s="6">
        <v>2.0</v>
      </c>
      <c r="I18" s="6">
        <v>2.0</v>
      </c>
      <c r="J18" s="6">
        <v>1.0</v>
      </c>
      <c r="K18" s="6">
        <v>1.0</v>
      </c>
      <c r="L18" s="6">
        <v>1.0</v>
      </c>
      <c r="M18" s="6">
        <v>4.0</v>
      </c>
      <c r="N18" s="6">
        <v>2.0</v>
      </c>
      <c r="O18" s="6">
        <v>2.0</v>
      </c>
      <c r="P18" s="6">
        <v>1.0</v>
      </c>
      <c r="Q18" s="6">
        <v>2.0</v>
      </c>
      <c r="R18" s="6">
        <v>1.0</v>
      </c>
      <c r="S18" s="6">
        <v>4.0</v>
      </c>
      <c r="T18" s="6">
        <v>2.0</v>
      </c>
      <c r="U18" s="6">
        <v>2.0</v>
      </c>
      <c r="V18" s="6">
        <v>1.0</v>
      </c>
      <c r="W18" s="6">
        <v>1.0</v>
      </c>
      <c r="X18" s="6">
        <v>1.0</v>
      </c>
      <c r="Y18" s="6">
        <v>4.0</v>
      </c>
      <c r="Z18" s="6">
        <v>2.0</v>
      </c>
      <c r="AA18" s="6">
        <v>2.0</v>
      </c>
    </row>
    <row r="19">
      <c r="A19" s="6">
        <v>41.0</v>
      </c>
      <c r="B19" s="6">
        <v>3.0</v>
      </c>
      <c r="C19" s="6">
        <v>2.0</v>
      </c>
      <c r="D19" s="6">
        <v>1.0</v>
      </c>
      <c r="E19" s="6">
        <v>2.0</v>
      </c>
      <c r="F19" s="6">
        <v>1.0</v>
      </c>
      <c r="G19" s="6">
        <v>4.0</v>
      </c>
      <c r="H19" s="6">
        <v>1.0</v>
      </c>
      <c r="I19" s="6">
        <v>1.0</v>
      </c>
      <c r="J19" s="6">
        <v>1.0</v>
      </c>
      <c r="K19" s="6">
        <v>2.0</v>
      </c>
      <c r="L19" s="6">
        <v>1.0</v>
      </c>
      <c r="M19" s="6">
        <v>4.0</v>
      </c>
      <c r="N19" s="6">
        <v>1.0</v>
      </c>
      <c r="O19" s="6">
        <v>2.0</v>
      </c>
      <c r="P19" s="6">
        <v>1.0</v>
      </c>
      <c r="Q19" s="6">
        <v>1.0</v>
      </c>
      <c r="R19" s="6">
        <v>1.0</v>
      </c>
      <c r="S19" s="6">
        <v>2.0</v>
      </c>
      <c r="T19" s="6">
        <v>2.0</v>
      </c>
      <c r="U19" s="6">
        <v>2.0</v>
      </c>
      <c r="V19" s="6">
        <v>1.0</v>
      </c>
      <c r="W19" s="6">
        <v>3.0</v>
      </c>
      <c r="X19" s="6">
        <v>0.0</v>
      </c>
      <c r="Y19" s="6">
        <v>2.0</v>
      </c>
      <c r="Z19" s="6">
        <v>1.0</v>
      </c>
      <c r="AA19" s="6">
        <v>1.0</v>
      </c>
    </row>
    <row r="20">
      <c r="A20" s="6">
        <v>47.0</v>
      </c>
      <c r="B20" s="6">
        <v>1.0</v>
      </c>
      <c r="C20" s="6">
        <v>1.0</v>
      </c>
      <c r="D20" s="6">
        <v>1.0</v>
      </c>
      <c r="E20" s="6">
        <v>1.0</v>
      </c>
      <c r="F20" s="6">
        <v>1.0</v>
      </c>
      <c r="G20" s="6">
        <v>4.0</v>
      </c>
      <c r="H20" s="6">
        <v>2.0</v>
      </c>
      <c r="I20" s="6">
        <v>2.0</v>
      </c>
      <c r="J20" s="6">
        <v>1.0</v>
      </c>
      <c r="K20" s="6">
        <v>2.0</v>
      </c>
      <c r="L20" s="6">
        <v>1.0</v>
      </c>
      <c r="M20" s="6">
        <v>4.0</v>
      </c>
      <c r="N20" s="6">
        <v>2.0</v>
      </c>
      <c r="O20" s="6">
        <v>2.0</v>
      </c>
      <c r="P20" s="6">
        <v>1.0</v>
      </c>
      <c r="Q20" s="6">
        <v>2.0</v>
      </c>
      <c r="R20" s="6">
        <v>1.0</v>
      </c>
      <c r="S20" s="6">
        <v>4.0</v>
      </c>
      <c r="T20" s="6">
        <v>2.0</v>
      </c>
      <c r="U20" s="6">
        <v>2.0</v>
      </c>
      <c r="V20" s="6">
        <v>1.0</v>
      </c>
      <c r="W20" s="6">
        <v>2.0</v>
      </c>
      <c r="X20" s="6">
        <v>1.0</v>
      </c>
      <c r="Y20" s="6">
        <v>4.0</v>
      </c>
      <c r="Z20" s="6">
        <v>2.0</v>
      </c>
      <c r="AA20" s="6">
        <v>2.0</v>
      </c>
    </row>
    <row r="21">
      <c r="A21" s="6">
        <v>49.0</v>
      </c>
      <c r="B21" s="6">
        <v>2.0</v>
      </c>
      <c r="C21" s="6">
        <v>3.0</v>
      </c>
      <c r="D21" s="6">
        <v>1.0</v>
      </c>
      <c r="E21" s="6">
        <v>3.0</v>
      </c>
      <c r="F21" s="6">
        <v>0.0</v>
      </c>
      <c r="G21" s="6">
        <v>0.0</v>
      </c>
      <c r="H21" s="6">
        <v>2.0</v>
      </c>
      <c r="I21" s="6">
        <v>1.0</v>
      </c>
      <c r="J21" s="6">
        <v>1.0</v>
      </c>
      <c r="K21" s="6">
        <v>3.0</v>
      </c>
      <c r="L21" s="6">
        <v>0.0</v>
      </c>
      <c r="M21" s="6">
        <v>0.0</v>
      </c>
      <c r="N21" s="6">
        <v>3.0</v>
      </c>
      <c r="O21" s="6">
        <v>1.0</v>
      </c>
      <c r="P21" s="6">
        <v>1.0</v>
      </c>
      <c r="Q21" s="6">
        <v>2.0</v>
      </c>
      <c r="R21" s="6">
        <v>1.0</v>
      </c>
      <c r="S21" s="6">
        <v>2.0</v>
      </c>
      <c r="T21" s="6">
        <v>3.0</v>
      </c>
      <c r="U21" s="6">
        <v>1.0</v>
      </c>
      <c r="V21" s="6">
        <v>1.0</v>
      </c>
      <c r="W21" s="6">
        <v>2.0</v>
      </c>
      <c r="X21" s="6">
        <v>1.0</v>
      </c>
      <c r="Y21" s="6">
        <v>2.0</v>
      </c>
      <c r="Z21" s="6">
        <v>2.0</v>
      </c>
      <c r="AA21" s="6">
        <v>1.0</v>
      </c>
    </row>
    <row r="22">
      <c r="A22" s="6">
        <v>50.0</v>
      </c>
      <c r="B22" s="6">
        <v>4.0</v>
      </c>
      <c r="C22" s="6">
        <v>2.0</v>
      </c>
      <c r="D22" s="6">
        <v>1.0</v>
      </c>
      <c r="E22" s="6">
        <v>1.0</v>
      </c>
      <c r="F22" s="6">
        <v>1.0</v>
      </c>
      <c r="G22" s="6">
        <v>4.0</v>
      </c>
      <c r="H22" s="6">
        <v>2.0</v>
      </c>
      <c r="I22" s="6">
        <v>2.0</v>
      </c>
      <c r="J22" s="6">
        <v>1.0</v>
      </c>
      <c r="K22" s="6">
        <v>2.0</v>
      </c>
      <c r="L22" s="6">
        <v>1.0</v>
      </c>
      <c r="M22" s="6">
        <v>4.0</v>
      </c>
      <c r="N22" s="6">
        <v>3.0</v>
      </c>
      <c r="O22" s="6">
        <v>2.0</v>
      </c>
      <c r="P22" s="6">
        <v>1.0</v>
      </c>
      <c r="Q22" s="6">
        <v>2.0</v>
      </c>
      <c r="R22" s="6">
        <v>1.0</v>
      </c>
      <c r="S22" s="6">
        <v>2.0</v>
      </c>
      <c r="T22" s="6">
        <v>4.0</v>
      </c>
      <c r="U22" s="6">
        <v>3.0</v>
      </c>
      <c r="V22" s="6">
        <v>1.0</v>
      </c>
      <c r="W22" s="6">
        <v>2.0</v>
      </c>
      <c r="X22" s="6">
        <v>1.0</v>
      </c>
      <c r="Y22" s="6">
        <v>4.0</v>
      </c>
      <c r="Z22" s="6">
        <v>3.0</v>
      </c>
      <c r="AA22" s="6">
        <v>2.0</v>
      </c>
    </row>
    <row r="23">
      <c r="A23" s="6">
        <v>53.0</v>
      </c>
      <c r="B23" s="6">
        <v>3.0</v>
      </c>
      <c r="C23" s="6">
        <v>4.0</v>
      </c>
      <c r="D23" s="6">
        <v>1.0</v>
      </c>
      <c r="E23" s="6">
        <v>2.0</v>
      </c>
      <c r="F23" s="6">
        <v>1.0</v>
      </c>
      <c r="G23" s="6">
        <v>4.0</v>
      </c>
      <c r="H23" s="6">
        <v>1.0</v>
      </c>
      <c r="I23" s="6">
        <v>1.0</v>
      </c>
      <c r="J23" s="6">
        <v>1.0</v>
      </c>
      <c r="K23" s="6">
        <v>2.0</v>
      </c>
      <c r="L23" s="6">
        <v>1.0</v>
      </c>
      <c r="M23" s="6">
        <v>4.0</v>
      </c>
      <c r="N23" s="6">
        <v>1.0</v>
      </c>
      <c r="O23" s="6">
        <v>1.0</v>
      </c>
      <c r="P23" s="6">
        <v>1.0</v>
      </c>
      <c r="Q23" s="6">
        <v>2.0</v>
      </c>
      <c r="R23" s="6">
        <v>1.0</v>
      </c>
      <c r="S23" s="6">
        <v>2.0</v>
      </c>
      <c r="T23" s="6">
        <v>1.0</v>
      </c>
      <c r="U23" s="6">
        <v>1.0</v>
      </c>
      <c r="V23" s="6">
        <v>1.0</v>
      </c>
      <c r="W23" s="6">
        <v>2.0</v>
      </c>
      <c r="X23" s="6">
        <v>1.0</v>
      </c>
      <c r="Y23" s="6">
        <v>2.0</v>
      </c>
      <c r="Z23" s="6">
        <v>1.0</v>
      </c>
      <c r="AA23" s="6">
        <v>1.0</v>
      </c>
    </row>
    <row r="24">
      <c r="A24" s="6">
        <v>55.0</v>
      </c>
      <c r="B24" s="6">
        <v>5.0</v>
      </c>
      <c r="C24" s="6">
        <v>3.0</v>
      </c>
      <c r="D24" s="6">
        <v>1.0</v>
      </c>
      <c r="E24" s="6">
        <v>3.0</v>
      </c>
      <c r="F24" s="6">
        <v>0.0</v>
      </c>
      <c r="G24" s="6">
        <v>0.0</v>
      </c>
      <c r="H24" s="6">
        <v>3.0</v>
      </c>
      <c r="I24" s="6">
        <v>3.0</v>
      </c>
      <c r="J24" s="6">
        <v>2.0</v>
      </c>
      <c r="K24" s="6">
        <v>2.0</v>
      </c>
      <c r="L24" s="6">
        <v>0.0</v>
      </c>
      <c r="M24" s="6">
        <v>0.0</v>
      </c>
      <c r="N24" s="6">
        <v>3.0</v>
      </c>
      <c r="O24" s="6">
        <v>3.0</v>
      </c>
      <c r="P24" s="6">
        <v>1.0</v>
      </c>
      <c r="Q24" s="6">
        <v>2.0</v>
      </c>
      <c r="R24" s="6">
        <v>1.0</v>
      </c>
      <c r="S24" s="6">
        <v>2.0</v>
      </c>
      <c r="T24" s="6">
        <v>3.0</v>
      </c>
      <c r="U24" s="6">
        <v>3.0</v>
      </c>
      <c r="V24" s="6">
        <v>1.0</v>
      </c>
      <c r="W24" s="6">
        <v>2.0</v>
      </c>
      <c r="X24" s="6">
        <v>1.0</v>
      </c>
      <c r="Y24" s="6">
        <v>2.0</v>
      </c>
      <c r="Z24" s="6">
        <v>3.0</v>
      </c>
      <c r="AA24" s="6">
        <v>3.0</v>
      </c>
    </row>
    <row r="25">
      <c r="A25" s="6">
        <v>56.0</v>
      </c>
      <c r="B25" s="6">
        <v>2.0</v>
      </c>
      <c r="C25" s="6">
        <v>3.0</v>
      </c>
      <c r="D25" s="6">
        <v>1.0</v>
      </c>
      <c r="E25" s="6">
        <v>1.0</v>
      </c>
      <c r="F25" s="6">
        <v>1.0</v>
      </c>
      <c r="G25" s="6">
        <v>4.0</v>
      </c>
      <c r="H25" s="6">
        <v>1.0</v>
      </c>
      <c r="I25" s="6">
        <v>1.0</v>
      </c>
      <c r="J25" s="6">
        <v>2.0</v>
      </c>
      <c r="K25" s="6">
        <v>2.0</v>
      </c>
      <c r="L25" s="6">
        <v>0.0</v>
      </c>
      <c r="M25" s="6">
        <v>2.0</v>
      </c>
      <c r="N25" s="6">
        <v>2.0</v>
      </c>
      <c r="O25" s="6">
        <v>1.0</v>
      </c>
      <c r="P25" s="6">
        <v>2.0</v>
      </c>
      <c r="Q25" s="6">
        <v>2.0</v>
      </c>
      <c r="R25" s="6">
        <v>0.0</v>
      </c>
      <c r="S25" s="6">
        <v>0.0</v>
      </c>
      <c r="T25" s="6">
        <v>1.0</v>
      </c>
      <c r="U25" s="6">
        <v>1.0</v>
      </c>
      <c r="V25" s="6">
        <v>2.0</v>
      </c>
      <c r="W25" s="6">
        <v>3.0</v>
      </c>
      <c r="X25" s="6">
        <v>1.0</v>
      </c>
      <c r="Y25" s="6">
        <v>2.0</v>
      </c>
      <c r="Z25" s="6">
        <v>3.0</v>
      </c>
      <c r="AA25" s="6">
        <v>2.0</v>
      </c>
    </row>
    <row r="26">
      <c r="A26" s="6">
        <v>57.0</v>
      </c>
      <c r="B26" s="6">
        <v>3.0</v>
      </c>
      <c r="C26" s="6">
        <v>1.0</v>
      </c>
      <c r="D26" s="6">
        <v>1.0</v>
      </c>
      <c r="E26" s="6">
        <v>3.0</v>
      </c>
      <c r="F26" s="6">
        <v>0.0</v>
      </c>
      <c r="G26" s="6">
        <v>0.0</v>
      </c>
      <c r="H26" s="6">
        <v>3.0</v>
      </c>
      <c r="I26" s="6">
        <v>2.0</v>
      </c>
      <c r="J26" s="6">
        <v>1.0</v>
      </c>
      <c r="K26" s="6">
        <v>2.0</v>
      </c>
      <c r="L26" s="6">
        <v>1.0</v>
      </c>
      <c r="M26" s="6">
        <v>2.0</v>
      </c>
      <c r="N26" s="6">
        <v>3.0</v>
      </c>
      <c r="O26" s="6">
        <v>1.0</v>
      </c>
      <c r="P26" s="6">
        <v>1.0</v>
      </c>
      <c r="Q26" s="6">
        <v>2.0</v>
      </c>
      <c r="R26" s="6">
        <v>1.0</v>
      </c>
      <c r="S26" s="6">
        <v>2.0</v>
      </c>
      <c r="T26" s="6">
        <v>3.0</v>
      </c>
      <c r="U26" s="6">
        <v>2.0</v>
      </c>
      <c r="V26" s="6">
        <v>1.0</v>
      </c>
      <c r="W26" s="6">
        <v>2.0</v>
      </c>
      <c r="X26" s="6">
        <v>1.0</v>
      </c>
      <c r="Y26" s="6">
        <v>4.0</v>
      </c>
      <c r="Z26" s="6">
        <v>3.0</v>
      </c>
      <c r="AA26" s="6">
        <v>2.0</v>
      </c>
    </row>
    <row r="27">
      <c r="A27" s="6">
        <v>61.0</v>
      </c>
      <c r="B27" s="6">
        <v>6.0</v>
      </c>
      <c r="C27" s="6">
        <v>3.0</v>
      </c>
      <c r="D27" s="6">
        <v>1.0</v>
      </c>
      <c r="E27" s="6">
        <v>2.0</v>
      </c>
      <c r="F27" s="6">
        <v>1.0</v>
      </c>
      <c r="G27" s="6">
        <v>2.0</v>
      </c>
      <c r="H27" s="6">
        <v>1.0</v>
      </c>
      <c r="I27" s="6">
        <v>2.0</v>
      </c>
      <c r="J27" s="6">
        <v>1.0</v>
      </c>
      <c r="K27" s="6">
        <v>2.0</v>
      </c>
      <c r="L27" s="6">
        <v>1.0</v>
      </c>
      <c r="M27" s="6">
        <v>4.0</v>
      </c>
      <c r="N27" s="6">
        <v>3.0</v>
      </c>
      <c r="O27" s="6">
        <v>1.0</v>
      </c>
      <c r="P27" s="6">
        <v>1.0</v>
      </c>
      <c r="Q27" s="6">
        <v>2.0</v>
      </c>
      <c r="R27" s="6">
        <v>1.0</v>
      </c>
      <c r="S27" s="6">
        <v>4.0</v>
      </c>
      <c r="T27" s="6">
        <v>3.0</v>
      </c>
      <c r="U27" s="6">
        <v>1.0</v>
      </c>
      <c r="V27" s="6">
        <v>1.0</v>
      </c>
      <c r="W27" s="6">
        <v>2.0</v>
      </c>
      <c r="X27" s="6">
        <v>1.0</v>
      </c>
      <c r="Y27" s="6">
        <v>4.0</v>
      </c>
      <c r="Z27" s="6">
        <v>2.0</v>
      </c>
      <c r="AA27" s="6">
        <v>2.0</v>
      </c>
    </row>
    <row r="28">
      <c r="A28" s="6">
        <v>63.0</v>
      </c>
      <c r="B28" s="6">
        <v>1.0</v>
      </c>
      <c r="C28" s="6">
        <v>3.0</v>
      </c>
      <c r="D28" s="6">
        <v>1.0</v>
      </c>
      <c r="E28" s="6">
        <v>2.0</v>
      </c>
      <c r="F28" s="6">
        <v>1.0</v>
      </c>
      <c r="G28" s="6">
        <v>4.0</v>
      </c>
      <c r="H28" s="6">
        <v>3.0</v>
      </c>
      <c r="I28" s="6">
        <v>2.0</v>
      </c>
      <c r="J28" s="6">
        <v>1.0</v>
      </c>
      <c r="K28" s="6">
        <v>2.0</v>
      </c>
      <c r="L28" s="6">
        <v>1.0</v>
      </c>
      <c r="M28" s="6">
        <v>4.0</v>
      </c>
      <c r="N28" s="6">
        <v>2.0</v>
      </c>
      <c r="O28" s="6">
        <v>1.0</v>
      </c>
      <c r="P28" s="6">
        <v>2.0</v>
      </c>
      <c r="Q28" s="6">
        <v>2.0</v>
      </c>
      <c r="R28" s="6">
        <v>0.0</v>
      </c>
      <c r="S28" s="6">
        <v>0.0</v>
      </c>
      <c r="T28" s="6">
        <v>2.0</v>
      </c>
      <c r="U28" s="6">
        <v>2.0</v>
      </c>
      <c r="V28" s="6">
        <v>1.0</v>
      </c>
      <c r="W28" s="6">
        <v>2.0</v>
      </c>
      <c r="X28" s="6">
        <v>1.0</v>
      </c>
      <c r="Y28" s="6">
        <v>2.0</v>
      </c>
      <c r="Z28" s="6">
        <v>2.0</v>
      </c>
      <c r="AA28" s="6">
        <v>2.0</v>
      </c>
    </row>
    <row r="29">
      <c r="A29" s="6">
        <v>65.0</v>
      </c>
      <c r="B29" s="6">
        <v>4.0</v>
      </c>
      <c r="C29" s="6">
        <v>3.0</v>
      </c>
      <c r="D29" s="6">
        <v>1.0</v>
      </c>
      <c r="E29" s="6">
        <v>3.0</v>
      </c>
      <c r="F29" s="6">
        <v>0.0</v>
      </c>
      <c r="G29" s="6">
        <v>0.0</v>
      </c>
      <c r="H29" s="6">
        <v>1.0</v>
      </c>
      <c r="I29" s="6">
        <v>1.0</v>
      </c>
      <c r="J29" s="6">
        <v>1.0</v>
      </c>
      <c r="K29" s="6">
        <v>3.0</v>
      </c>
      <c r="L29" s="6">
        <v>0.0</v>
      </c>
      <c r="M29" s="6">
        <v>0.0</v>
      </c>
      <c r="N29" s="6">
        <v>1.0</v>
      </c>
      <c r="O29" s="6">
        <v>1.0</v>
      </c>
      <c r="P29" s="6">
        <v>1.0</v>
      </c>
      <c r="Q29" s="6">
        <v>3.0</v>
      </c>
      <c r="R29" s="6">
        <v>0.0</v>
      </c>
      <c r="S29" s="6">
        <v>0.0</v>
      </c>
      <c r="T29" s="6">
        <v>1.0</v>
      </c>
      <c r="U29" s="6">
        <v>1.0</v>
      </c>
      <c r="V29" s="6">
        <v>1.0</v>
      </c>
      <c r="W29" s="6">
        <v>3.0</v>
      </c>
      <c r="X29" s="6">
        <v>0.0</v>
      </c>
      <c r="Y29" s="6">
        <v>0.0</v>
      </c>
      <c r="Z29" s="6">
        <v>1.0</v>
      </c>
      <c r="AA29" s="6">
        <v>1.0</v>
      </c>
    </row>
    <row r="30">
      <c r="A30" s="6">
        <v>68.0</v>
      </c>
      <c r="B30" s="6">
        <v>3.0</v>
      </c>
      <c r="C30" s="6">
        <v>3.0</v>
      </c>
      <c r="D30" s="6">
        <v>1.0</v>
      </c>
      <c r="E30" s="6">
        <v>2.0</v>
      </c>
      <c r="F30" s="6">
        <v>1.0</v>
      </c>
      <c r="G30" s="6">
        <v>4.0</v>
      </c>
      <c r="H30" s="6">
        <v>2.0</v>
      </c>
      <c r="I30" s="6">
        <v>1.0</v>
      </c>
      <c r="J30" s="6">
        <v>1.0</v>
      </c>
      <c r="K30" s="6">
        <v>2.0</v>
      </c>
      <c r="L30" s="6">
        <v>1.0</v>
      </c>
      <c r="M30" s="6">
        <v>4.0</v>
      </c>
      <c r="N30" s="6">
        <v>2.0</v>
      </c>
      <c r="O30" s="6">
        <v>1.0</v>
      </c>
      <c r="P30" s="6">
        <v>1.0</v>
      </c>
      <c r="Q30" s="6">
        <v>1.0</v>
      </c>
      <c r="R30" s="6">
        <v>1.0</v>
      </c>
      <c r="S30" s="6">
        <v>4.0</v>
      </c>
      <c r="T30" s="6">
        <v>3.0</v>
      </c>
      <c r="U30" s="6">
        <v>2.0</v>
      </c>
      <c r="V30" s="6">
        <v>2.0</v>
      </c>
      <c r="W30" s="6">
        <v>2.0</v>
      </c>
      <c r="X30" s="6">
        <v>0.0</v>
      </c>
      <c r="Y30" s="6">
        <v>0.0</v>
      </c>
      <c r="Z30" s="6">
        <v>3.0</v>
      </c>
      <c r="AA30" s="6">
        <v>1.0</v>
      </c>
    </row>
    <row r="31">
      <c r="A31" s="6">
        <v>74.0</v>
      </c>
      <c r="B31" s="6">
        <v>5.0</v>
      </c>
      <c r="C31" s="6">
        <v>4.0</v>
      </c>
      <c r="D31" s="6">
        <v>1.0</v>
      </c>
      <c r="E31" s="6">
        <v>3.0</v>
      </c>
      <c r="F31" s="6">
        <v>0.0</v>
      </c>
      <c r="G31" s="6">
        <v>0.0</v>
      </c>
      <c r="H31" s="6">
        <v>3.0</v>
      </c>
      <c r="I31" s="6">
        <v>3.0</v>
      </c>
      <c r="J31" s="6">
        <v>2.0</v>
      </c>
      <c r="K31" s="6">
        <v>2.0</v>
      </c>
      <c r="L31" s="6">
        <v>0.0</v>
      </c>
      <c r="M31" s="6">
        <v>2.0</v>
      </c>
      <c r="N31" s="6">
        <v>3.0</v>
      </c>
      <c r="O31" s="6">
        <v>2.0</v>
      </c>
      <c r="P31" s="6">
        <v>1.0</v>
      </c>
      <c r="Q31" s="6">
        <v>2.0</v>
      </c>
      <c r="R31" s="6">
        <v>1.0</v>
      </c>
      <c r="S31" s="6">
        <v>4.0</v>
      </c>
      <c r="T31" s="6">
        <v>2.0</v>
      </c>
      <c r="U31" s="6">
        <v>1.0</v>
      </c>
      <c r="V31" s="6">
        <v>2.0</v>
      </c>
      <c r="W31" s="6">
        <v>2.0</v>
      </c>
      <c r="X31" s="6">
        <v>0.0</v>
      </c>
      <c r="Y31" s="6">
        <v>0.0</v>
      </c>
      <c r="Z31" s="6">
        <v>2.0</v>
      </c>
      <c r="AA31" s="6">
        <v>2.0</v>
      </c>
    </row>
    <row r="32">
      <c r="A32" s="6">
        <v>76.0</v>
      </c>
      <c r="B32" s="6">
        <v>1.0</v>
      </c>
      <c r="C32" s="6">
        <v>1.0</v>
      </c>
      <c r="D32" s="6">
        <v>1.0</v>
      </c>
      <c r="E32" s="6">
        <v>2.0</v>
      </c>
      <c r="F32" s="6">
        <v>1.0</v>
      </c>
      <c r="G32" s="6">
        <v>4.0</v>
      </c>
      <c r="H32" s="6">
        <v>3.0</v>
      </c>
      <c r="I32" s="6">
        <v>3.0</v>
      </c>
      <c r="J32" s="6">
        <v>1.0</v>
      </c>
      <c r="K32" s="6">
        <v>1.0</v>
      </c>
      <c r="L32" s="6">
        <v>1.0</v>
      </c>
      <c r="M32" s="6">
        <v>4.0</v>
      </c>
      <c r="N32" s="6">
        <v>3.0</v>
      </c>
      <c r="O32" s="6">
        <v>3.0</v>
      </c>
      <c r="P32" s="6">
        <v>1.0</v>
      </c>
      <c r="Q32" s="6">
        <v>2.0</v>
      </c>
      <c r="R32" s="6">
        <v>1.0</v>
      </c>
      <c r="S32" s="6">
        <v>4.0</v>
      </c>
      <c r="T32" s="6">
        <v>4.0</v>
      </c>
      <c r="U32" s="6">
        <v>3.0</v>
      </c>
      <c r="V32" s="6">
        <v>1.0</v>
      </c>
      <c r="W32" s="6">
        <v>2.0</v>
      </c>
      <c r="X32" s="6">
        <v>1.0</v>
      </c>
      <c r="Y32" s="6">
        <v>4.0</v>
      </c>
      <c r="Z32" s="6">
        <v>3.0</v>
      </c>
      <c r="AA32" s="6">
        <v>3.0</v>
      </c>
    </row>
    <row r="33">
      <c r="A33" s="6">
        <v>77.0</v>
      </c>
      <c r="B33" s="6">
        <v>3.0</v>
      </c>
      <c r="C33" s="6">
        <v>1.0</v>
      </c>
      <c r="D33" s="6">
        <v>1.0</v>
      </c>
      <c r="E33" s="6">
        <v>1.0</v>
      </c>
      <c r="F33" s="6">
        <v>1.0</v>
      </c>
      <c r="G33" s="6">
        <v>4.0</v>
      </c>
      <c r="H33" s="6">
        <v>3.0</v>
      </c>
      <c r="I33" s="6">
        <v>1.0</v>
      </c>
      <c r="J33" s="6">
        <v>1.0</v>
      </c>
      <c r="K33" s="6">
        <v>1.0</v>
      </c>
      <c r="L33" s="6">
        <v>1.0</v>
      </c>
      <c r="M33" s="6">
        <v>4.0</v>
      </c>
      <c r="N33" s="6">
        <v>3.0</v>
      </c>
      <c r="O33" s="6">
        <v>1.0</v>
      </c>
      <c r="P33" s="6">
        <v>1.0</v>
      </c>
      <c r="Q33" s="6">
        <v>1.0</v>
      </c>
      <c r="R33" s="6">
        <v>1.0</v>
      </c>
      <c r="S33" s="6">
        <v>4.0</v>
      </c>
      <c r="T33" s="6">
        <v>1.0</v>
      </c>
      <c r="U33" s="6">
        <v>1.0</v>
      </c>
      <c r="V33" s="6">
        <v>1.0</v>
      </c>
      <c r="W33" s="6">
        <v>1.0</v>
      </c>
      <c r="X33" s="6">
        <v>1.0</v>
      </c>
      <c r="Y33" s="6">
        <v>4.0</v>
      </c>
      <c r="Z33" s="6">
        <v>2.0</v>
      </c>
      <c r="AA33" s="6">
        <v>1.0</v>
      </c>
    </row>
    <row r="34">
      <c r="A34" s="6">
        <v>78.0</v>
      </c>
      <c r="B34" s="6">
        <v>1.0</v>
      </c>
      <c r="C34" s="6">
        <v>1.0</v>
      </c>
      <c r="D34" s="6">
        <v>1.0</v>
      </c>
      <c r="E34" s="6">
        <v>2.0</v>
      </c>
      <c r="F34" s="6">
        <v>1.0</v>
      </c>
      <c r="G34" s="6">
        <v>2.0</v>
      </c>
      <c r="H34" s="6">
        <v>3.0</v>
      </c>
      <c r="I34" s="6">
        <v>1.0</v>
      </c>
      <c r="J34" s="6">
        <v>1.0</v>
      </c>
      <c r="K34" s="6">
        <v>2.0</v>
      </c>
      <c r="L34" s="6">
        <v>1.0</v>
      </c>
      <c r="M34" s="6">
        <v>2.0</v>
      </c>
      <c r="N34" s="6">
        <v>3.0</v>
      </c>
      <c r="O34" s="6">
        <v>1.0</v>
      </c>
      <c r="P34" s="6">
        <v>1.0</v>
      </c>
      <c r="Q34" s="6">
        <v>2.0</v>
      </c>
      <c r="R34" s="6">
        <v>1.0</v>
      </c>
      <c r="S34" s="6">
        <v>4.0</v>
      </c>
      <c r="T34" s="6">
        <v>4.0</v>
      </c>
      <c r="U34" s="6">
        <v>2.0</v>
      </c>
      <c r="V34" s="6">
        <v>1.0</v>
      </c>
      <c r="W34" s="6">
        <v>2.0</v>
      </c>
      <c r="X34" s="6">
        <v>1.0</v>
      </c>
      <c r="Y34" s="6">
        <v>4.0</v>
      </c>
      <c r="Z34" s="6">
        <v>4.0</v>
      </c>
      <c r="AA34" s="6">
        <v>1.0</v>
      </c>
    </row>
    <row r="35">
      <c r="A35" s="6">
        <v>79.0</v>
      </c>
      <c r="B35" s="6">
        <v>5.0</v>
      </c>
      <c r="C35" s="6">
        <v>1.0</v>
      </c>
      <c r="D35" s="6">
        <v>1.0</v>
      </c>
      <c r="E35" s="6">
        <v>2.0</v>
      </c>
      <c r="F35" s="6">
        <v>1.0</v>
      </c>
      <c r="G35" s="6">
        <v>4.0</v>
      </c>
      <c r="H35" s="6">
        <v>2.0</v>
      </c>
      <c r="I35" s="6">
        <v>1.0</v>
      </c>
      <c r="J35" s="6">
        <v>1.0</v>
      </c>
      <c r="K35" s="6">
        <v>2.0</v>
      </c>
      <c r="L35" s="6">
        <v>1.0</v>
      </c>
      <c r="M35" s="6">
        <v>4.0</v>
      </c>
      <c r="N35" s="6">
        <v>2.0</v>
      </c>
      <c r="O35" s="6">
        <v>1.0</v>
      </c>
      <c r="P35" s="6">
        <v>1.0</v>
      </c>
      <c r="Q35" s="6">
        <v>2.0</v>
      </c>
      <c r="R35" s="6">
        <v>1.0</v>
      </c>
      <c r="S35" s="6">
        <v>4.0</v>
      </c>
      <c r="T35" s="6">
        <v>2.0</v>
      </c>
      <c r="U35" s="6">
        <v>1.0</v>
      </c>
      <c r="V35" s="6">
        <v>1.0</v>
      </c>
      <c r="W35" s="6">
        <v>2.0</v>
      </c>
      <c r="X35" s="6">
        <v>1.0</v>
      </c>
      <c r="Y35" s="6">
        <v>4.0</v>
      </c>
      <c r="Z35" s="6">
        <v>1.0</v>
      </c>
      <c r="AA35" s="6">
        <v>1.0</v>
      </c>
    </row>
    <row r="36">
      <c r="A36" s="6">
        <v>80.0</v>
      </c>
      <c r="B36" s="6">
        <v>2.0</v>
      </c>
      <c r="C36" s="6">
        <v>1.0</v>
      </c>
      <c r="D36" s="6">
        <v>1.0</v>
      </c>
      <c r="E36" s="6">
        <v>2.0</v>
      </c>
      <c r="F36" s="6">
        <v>1.0</v>
      </c>
      <c r="G36" s="6">
        <v>4.0</v>
      </c>
      <c r="H36" s="6">
        <v>1.0</v>
      </c>
      <c r="I36" s="6">
        <v>1.0</v>
      </c>
      <c r="J36" s="6">
        <v>2.0</v>
      </c>
      <c r="K36" s="6">
        <v>1.0</v>
      </c>
      <c r="L36" s="6">
        <v>1.0</v>
      </c>
      <c r="M36" s="6">
        <v>4.0</v>
      </c>
      <c r="N36" s="6">
        <v>1.0</v>
      </c>
      <c r="O36" s="6">
        <v>1.0</v>
      </c>
      <c r="P36" s="6">
        <v>1.0</v>
      </c>
      <c r="Q36" s="6">
        <v>2.0</v>
      </c>
      <c r="R36" s="6">
        <v>1.0</v>
      </c>
      <c r="S36" s="6">
        <v>2.0</v>
      </c>
      <c r="T36" s="6">
        <v>1.0</v>
      </c>
      <c r="U36" s="6">
        <v>1.0</v>
      </c>
      <c r="V36" s="6">
        <v>1.0</v>
      </c>
      <c r="W36" s="6">
        <v>2.0</v>
      </c>
      <c r="X36" s="6">
        <v>1.0</v>
      </c>
      <c r="Y36" s="6">
        <v>4.0</v>
      </c>
      <c r="Z36" s="6">
        <v>1.0</v>
      </c>
      <c r="AA36" s="6">
        <v>1.0</v>
      </c>
    </row>
    <row r="37">
      <c r="A37" s="6">
        <v>81.0</v>
      </c>
      <c r="B37" s="6">
        <v>5.0</v>
      </c>
      <c r="C37" s="6">
        <v>3.0</v>
      </c>
      <c r="D37" s="6">
        <v>1.0</v>
      </c>
      <c r="E37" s="6">
        <v>1.0</v>
      </c>
      <c r="F37" s="6">
        <v>1.0</v>
      </c>
      <c r="G37" s="6">
        <v>2.0</v>
      </c>
      <c r="H37" s="6">
        <v>3.0</v>
      </c>
      <c r="I37" s="6">
        <v>3.0</v>
      </c>
      <c r="J37" s="6">
        <v>1.0</v>
      </c>
      <c r="K37" s="6">
        <v>1.0</v>
      </c>
      <c r="L37" s="6">
        <v>1.0</v>
      </c>
      <c r="M37" s="6">
        <v>4.0</v>
      </c>
      <c r="N37" s="6">
        <v>3.0</v>
      </c>
      <c r="O37" s="6">
        <v>3.0</v>
      </c>
      <c r="P37" s="6">
        <v>1.0</v>
      </c>
      <c r="Q37" s="6">
        <v>2.0</v>
      </c>
      <c r="R37" s="6">
        <v>1.0</v>
      </c>
      <c r="S37" s="6">
        <v>4.0</v>
      </c>
      <c r="T37" s="6">
        <v>3.0</v>
      </c>
      <c r="U37" s="6">
        <v>3.0</v>
      </c>
      <c r="V37" s="6">
        <v>1.0</v>
      </c>
      <c r="W37" s="6">
        <v>2.0</v>
      </c>
      <c r="X37" s="6">
        <v>1.0</v>
      </c>
      <c r="Y37" s="6">
        <v>4.0</v>
      </c>
      <c r="Z37" s="6">
        <v>3.0</v>
      </c>
      <c r="AA37" s="6">
        <v>3.0</v>
      </c>
    </row>
    <row r="38">
      <c r="A38" s="6">
        <v>82.0</v>
      </c>
      <c r="B38" s="6">
        <v>3.0</v>
      </c>
      <c r="C38" s="6">
        <v>2.0</v>
      </c>
      <c r="D38" s="6">
        <v>1.0</v>
      </c>
      <c r="E38" s="6">
        <v>3.0</v>
      </c>
      <c r="F38" s="6">
        <v>0.0</v>
      </c>
      <c r="G38" s="6">
        <v>0.0</v>
      </c>
      <c r="H38" s="6">
        <v>1.0</v>
      </c>
      <c r="I38" s="6">
        <v>1.0</v>
      </c>
      <c r="J38" s="6">
        <v>1.0</v>
      </c>
      <c r="K38" s="6">
        <v>2.0</v>
      </c>
      <c r="L38" s="6">
        <v>1.0</v>
      </c>
      <c r="M38" s="6">
        <v>2.0</v>
      </c>
      <c r="N38" s="6">
        <v>2.0</v>
      </c>
      <c r="O38" s="6">
        <v>1.0</v>
      </c>
      <c r="P38" s="6">
        <v>2.0</v>
      </c>
      <c r="Q38" s="6">
        <v>2.0</v>
      </c>
      <c r="R38" s="6">
        <v>0.0</v>
      </c>
      <c r="S38" s="6">
        <v>0.0</v>
      </c>
      <c r="T38" s="6">
        <v>1.0</v>
      </c>
      <c r="U38" s="6">
        <v>1.0</v>
      </c>
      <c r="V38" s="6">
        <v>1.0</v>
      </c>
      <c r="W38" s="6">
        <v>3.0</v>
      </c>
      <c r="X38" s="6">
        <v>0.0</v>
      </c>
      <c r="Y38" s="6">
        <v>0.0</v>
      </c>
      <c r="Z38" s="6">
        <v>1.0</v>
      </c>
      <c r="AA38" s="6">
        <v>1.0</v>
      </c>
    </row>
    <row r="39">
      <c r="A39" s="6">
        <v>83.0</v>
      </c>
      <c r="B39" s="6">
        <v>1.0</v>
      </c>
      <c r="C39" s="6">
        <v>4.0</v>
      </c>
      <c r="D39" s="6">
        <v>1.0</v>
      </c>
      <c r="E39" s="6">
        <v>1.0</v>
      </c>
      <c r="F39" s="6">
        <v>1.0</v>
      </c>
      <c r="G39" s="6">
        <v>4.0</v>
      </c>
      <c r="H39" s="6">
        <v>1.0</v>
      </c>
      <c r="I39" s="6">
        <v>1.0</v>
      </c>
      <c r="J39" s="6">
        <v>1.0</v>
      </c>
      <c r="K39" s="6">
        <v>2.0</v>
      </c>
      <c r="L39" s="6">
        <v>1.0</v>
      </c>
      <c r="M39" s="6">
        <v>4.0</v>
      </c>
      <c r="N39" s="6">
        <v>3.0</v>
      </c>
      <c r="O39" s="6">
        <v>1.0</v>
      </c>
      <c r="P39" s="6">
        <v>1.0</v>
      </c>
      <c r="Q39" s="6">
        <v>2.0</v>
      </c>
      <c r="R39" s="6">
        <v>1.0</v>
      </c>
      <c r="S39" s="6">
        <v>4.0</v>
      </c>
      <c r="T39" s="6">
        <v>2.0</v>
      </c>
      <c r="U39" s="6">
        <v>1.0</v>
      </c>
      <c r="V39" s="6">
        <v>1.0</v>
      </c>
      <c r="W39" s="6">
        <v>2.0</v>
      </c>
      <c r="X39" s="6">
        <v>1.0</v>
      </c>
      <c r="Y39" s="6">
        <v>4.0</v>
      </c>
      <c r="Z39" s="6">
        <v>2.0</v>
      </c>
      <c r="AA39" s="6">
        <v>1.0</v>
      </c>
    </row>
    <row r="40">
      <c r="A40" s="6">
        <v>84.0</v>
      </c>
      <c r="B40" s="6">
        <v>2.0</v>
      </c>
      <c r="C40" s="6">
        <v>3.0</v>
      </c>
      <c r="D40" s="6">
        <v>1.0</v>
      </c>
      <c r="E40" s="6">
        <v>2.0</v>
      </c>
      <c r="F40" s="6">
        <v>1.0</v>
      </c>
      <c r="G40" s="6">
        <v>4.0</v>
      </c>
      <c r="H40" s="6">
        <v>3.0</v>
      </c>
      <c r="I40" s="6">
        <v>3.0</v>
      </c>
      <c r="J40" s="6">
        <v>1.0</v>
      </c>
      <c r="K40" s="6">
        <v>2.0</v>
      </c>
      <c r="L40" s="6">
        <v>1.0</v>
      </c>
      <c r="M40" s="6">
        <v>2.0</v>
      </c>
      <c r="N40" s="6">
        <v>3.0</v>
      </c>
      <c r="O40" s="6">
        <v>2.0</v>
      </c>
      <c r="P40" s="6">
        <v>1.0</v>
      </c>
      <c r="Q40" s="6">
        <v>2.0</v>
      </c>
      <c r="R40" s="6">
        <v>1.0</v>
      </c>
      <c r="S40" s="6">
        <v>4.0</v>
      </c>
      <c r="T40" s="6">
        <v>3.0</v>
      </c>
      <c r="U40" s="6">
        <v>3.0</v>
      </c>
      <c r="V40" s="6">
        <v>1.0</v>
      </c>
      <c r="W40" s="6">
        <v>2.0</v>
      </c>
      <c r="X40" s="6">
        <v>1.0</v>
      </c>
      <c r="Y40" s="6">
        <v>4.0</v>
      </c>
      <c r="Z40" s="6">
        <v>4.0</v>
      </c>
      <c r="AA40" s="6">
        <v>2.0</v>
      </c>
    </row>
    <row r="41">
      <c r="A41" s="6">
        <v>87.0</v>
      </c>
      <c r="B41" s="6">
        <v>3.0</v>
      </c>
      <c r="C41" s="6">
        <v>3.0</v>
      </c>
      <c r="D41" s="6">
        <v>1.0</v>
      </c>
      <c r="E41" s="6">
        <v>3.0</v>
      </c>
      <c r="F41" s="6">
        <v>0.0</v>
      </c>
      <c r="G41" s="6">
        <v>2.0</v>
      </c>
      <c r="H41" s="6">
        <v>3.0</v>
      </c>
      <c r="I41" s="6">
        <v>1.0</v>
      </c>
      <c r="J41" s="6">
        <v>1.0</v>
      </c>
      <c r="K41" s="6">
        <v>3.0</v>
      </c>
      <c r="L41" s="6">
        <v>0.0</v>
      </c>
      <c r="M41" s="6">
        <v>0.0</v>
      </c>
      <c r="N41" s="6">
        <v>2.0</v>
      </c>
      <c r="O41" s="6">
        <v>1.0</v>
      </c>
      <c r="P41" s="6">
        <v>1.0</v>
      </c>
      <c r="Q41" s="6">
        <v>3.0</v>
      </c>
      <c r="R41" s="6">
        <v>0.0</v>
      </c>
      <c r="S41" s="6">
        <v>0.0</v>
      </c>
      <c r="T41" s="6">
        <v>2.0</v>
      </c>
      <c r="U41" s="6">
        <v>1.0</v>
      </c>
      <c r="V41" s="6">
        <v>1.0</v>
      </c>
      <c r="W41" s="6">
        <v>3.0</v>
      </c>
      <c r="X41" s="6">
        <v>0.0</v>
      </c>
      <c r="Y41" s="6">
        <v>0.0</v>
      </c>
      <c r="Z41" s="6">
        <v>2.0</v>
      </c>
      <c r="AA41" s="6">
        <v>1.0</v>
      </c>
    </row>
    <row r="42">
      <c r="A42" s="6">
        <v>88.0</v>
      </c>
      <c r="B42" s="6">
        <v>6.0</v>
      </c>
      <c r="C42" s="6">
        <v>1.0</v>
      </c>
      <c r="D42" s="6">
        <v>1.0</v>
      </c>
      <c r="E42" s="6">
        <v>1.0</v>
      </c>
      <c r="F42" s="6">
        <v>1.0</v>
      </c>
      <c r="G42" s="6">
        <v>4.0</v>
      </c>
      <c r="H42" s="6">
        <v>2.0</v>
      </c>
      <c r="I42" s="6">
        <v>1.0</v>
      </c>
      <c r="J42" s="6">
        <v>1.0</v>
      </c>
      <c r="K42" s="6">
        <v>2.0</v>
      </c>
      <c r="L42" s="6">
        <v>1.0</v>
      </c>
      <c r="M42" s="6">
        <v>4.0</v>
      </c>
      <c r="N42" s="6">
        <v>2.0</v>
      </c>
      <c r="O42" s="6">
        <v>1.0</v>
      </c>
      <c r="P42" s="6">
        <v>1.0</v>
      </c>
      <c r="Q42" s="6">
        <v>2.0</v>
      </c>
      <c r="R42" s="6">
        <v>1.0</v>
      </c>
      <c r="S42" s="6">
        <v>4.0</v>
      </c>
      <c r="T42" s="6">
        <v>2.0</v>
      </c>
      <c r="U42" s="6">
        <v>1.0</v>
      </c>
      <c r="V42" s="6">
        <v>1.0</v>
      </c>
      <c r="W42" s="6">
        <v>2.0</v>
      </c>
      <c r="X42" s="6">
        <v>1.0</v>
      </c>
      <c r="Y42" s="6">
        <v>4.0</v>
      </c>
      <c r="Z42" s="6">
        <v>2.0</v>
      </c>
      <c r="AA42" s="6">
        <v>1.0</v>
      </c>
    </row>
    <row r="43">
      <c r="A43" s="6">
        <v>89.0</v>
      </c>
      <c r="B43" s="6">
        <v>6.0</v>
      </c>
      <c r="C43" s="6">
        <v>1.0</v>
      </c>
      <c r="D43" s="6">
        <v>1.0</v>
      </c>
      <c r="E43" s="6">
        <v>1.0</v>
      </c>
      <c r="F43" s="6">
        <v>1.0</v>
      </c>
      <c r="G43" s="6">
        <v>4.0</v>
      </c>
      <c r="H43" s="6">
        <v>2.0</v>
      </c>
      <c r="I43" s="6">
        <v>1.0</v>
      </c>
      <c r="J43" s="6">
        <v>1.0</v>
      </c>
      <c r="K43" s="6">
        <v>1.0</v>
      </c>
      <c r="L43" s="6">
        <v>1.0</v>
      </c>
      <c r="M43" s="6">
        <v>4.0</v>
      </c>
      <c r="N43" s="6">
        <v>2.0</v>
      </c>
      <c r="O43" s="6">
        <v>1.0</v>
      </c>
      <c r="P43" s="6">
        <v>1.0</v>
      </c>
      <c r="Q43" s="6">
        <v>2.0</v>
      </c>
      <c r="R43" s="6">
        <v>1.0</v>
      </c>
      <c r="S43" s="6">
        <v>4.0</v>
      </c>
      <c r="T43" s="6">
        <v>2.0</v>
      </c>
      <c r="U43" s="6">
        <v>1.0</v>
      </c>
      <c r="V43" s="6">
        <v>1.0</v>
      </c>
      <c r="W43" s="6">
        <v>2.0</v>
      </c>
      <c r="X43" s="6">
        <v>1.0</v>
      </c>
      <c r="Y43" s="6">
        <v>4.0</v>
      </c>
      <c r="Z43" s="6">
        <v>2.0</v>
      </c>
      <c r="AA43" s="6">
        <v>1.0</v>
      </c>
    </row>
    <row r="44">
      <c r="A44" s="6">
        <v>91.0</v>
      </c>
      <c r="B44" s="6">
        <v>1.0</v>
      </c>
      <c r="C44" s="6">
        <v>3.0</v>
      </c>
      <c r="D44" s="6">
        <v>1.0</v>
      </c>
      <c r="E44" s="6">
        <v>2.0</v>
      </c>
      <c r="F44" s="6">
        <v>1.0</v>
      </c>
      <c r="G44" s="6">
        <v>4.0</v>
      </c>
      <c r="H44" s="6">
        <v>3.0</v>
      </c>
      <c r="I44" s="6">
        <v>1.0</v>
      </c>
      <c r="J44" s="6">
        <v>2.0</v>
      </c>
      <c r="K44" s="6">
        <v>2.0</v>
      </c>
      <c r="L44" s="6">
        <v>0.0</v>
      </c>
      <c r="M44" s="6">
        <v>0.0</v>
      </c>
      <c r="N44" s="6">
        <v>3.0</v>
      </c>
      <c r="O44" s="6">
        <v>2.0</v>
      </c>
      <c r="P44" s="6">
        <v>2.0</v>
      </c>
      <c r="Q44" s="6">
        <v>2.0</v>
      </c>
      <c r="R44" s="6">
        <v>0.0</v>
      </c>
      <c r="S44" s="6">
        <v>2.0</v>
      </c>
      <c r="T44" s="6">
        <v>2.0</v>
      </c>
      <c r="U44" s="6">
        <v>1.0</v>
      </c>
      <c r="V44" s="6">
        <v>1.0</v>
      </c>
      <c r="W44" s="6">
        <v>2.0</v>
      </c>
      <c r="X44" s="6">
        <v>1.0</v>
      </c>
      <c r="Y44" s="6">
        <v>4.0</v>
      </c>
      <c r="Z44" s="6">
        <v>3.0</v>
      </c>
      <c r="AA44" s="6">
        <v>2.0</v>
      </c>
    </row>
    <row r="45">
      <c r="A45" s="6">
        <v>93.0</v>
      </c>
      <c r="B45" s="6">
        <v>4.0</v>
      </c>
      <c r="C45" s="6">
        <v>3.0</v>
      </c>
      <c r="D45" s="6">
        <v>1.0</v>
      </c>
      <c r="E45" s="6">
        <v>2.0</v>
      </c>
      <c r="F45" s="6">
        <v>1.0</v>
      </c>
      <c r="G45" s="6">
        <v>4.0</v>
      </c>
      <c r="H45" s="6">
        <v>3.0</v>
      </c>
      <c r="I45" s="6">
        <v>3.0</v>
      </c>
      <c r="J45" s="6">
        <v>1.0</v>
      </c>
      <c r="K45" s="6">
        <v>3.0</v>
      </c>
      <c r="L45" s="6">
        <v>0.0</v>
      </c>
      <c r="M45" s="6">
        <v>0.0</v>
      </c>
      <c r="N45" s="6">
        <v>3.0</v>
      </c>
      <c r="O45" s="6">
        <v>2.0</v>
      </c>
      <c r="P45" s="6">
        <v>1.0</v>
      </c>
      <c r="Q45" s="6">
        <v>2.0</v>
      </c>
      <c r="R45" s="6">
        <v>1.0</v>
      </c>
      <c r="S45" s="6">
        <v>2.0</v>
      </c>
      <c r="T45" s="6">
        <v>3.0</v>
      </c>
      <c r="U45" s="6">
        <v>2.0</v>
      </c>
      <c r="V45" s="6">
        <v>1.0</v>
      </c>
      <c r="W45" s="6">
        <v>2.0</v>
      </c>
      <c r="X45" s="6">
        <v>1.0</v>
      </c>
      <c r="Y45" s="6">
        <v>4.0</v>
      </c>
      <c r="Z45" s="6">
        <v>3.0</v>
      </c>
      <c r="AA45" s="6">
        <v>2.0</v>
      </c>
    </row>
    <row r="46">
      <c r="A46" s="6">
        <v>95.0</v>
      </c>
      <c r="B46" s="6">
        <v>2.0</v>
      </c>
      <c r="C46" s="6">
        <v>4.0</v>
      </c>
      <c r="D46" s="6">
        <v>1.0</v>
      </c>
      <c r="E46" s="6">
        <v>1.0</v>
      </c>
      <c r="F46" s="6">
        <v>1.0</v>
      </c>
      <c r="G46" s="6">
        <v>2.0</v>
      </c>
      <c r="H46" s="6">
        <v>3.0</v>
      </c>
      <c r="I46" s="6">
        <v>1.0</v>
      </c>
      <c r="J46" s="6">
        <v>1.0</v>
      </c>
      <c r="K46" s="6">
        <v>3.0</v>
      </c>
      <c r="L46" s="6">
        <v>0.0</v>
      </c>
      <c r="M46" s="6">
        <v>2.0</v>
      </c>
      <c r="N46" s="6">
        <v>2.0</v>
      </c>
      <c r="O46" s="6">
        <v>1.0</v>
      </c>
      <c r="P46" s="6">
        <v>1.0</v>
      </c>
      <c r="Q46" s="6">
        <v>2.0</v>
      </c>
      <c r="R46" s="6">
        <v>1.0</v>
      </c>
      <c r="S46" s="6">
        <v>4.0</v>
      </c>
      <c r="T46" s="6">
        <v>2.0</v>
      </c>
      <c r="U46" s="6">
        <v>1.0</v>
      </c>
      <c r="V46" s="6">
        <v>1.0</v>
      </c>
      <c r="W46" s="6">
        <v>2.0</v>
      </c>
      <c r="X46" s="6">
        <v>1.0</v>
      </c>
      <c r="Y46" s="6">
        <v>2.0</v>
      </c>
      <c r="Z46" s="6">
        <v>2.0</v>
      </c>
      <c r="AA46" s="6">
        <v>1.0</v>
      </c>
    </row>
    <row r="47">
      <c r="A47" s="6">
        <v>97.0</v>
      </c>
      <c r="B47" s="6">
        <v>3.0</v>
      </c>
      <c r="C47" s="6">
        <v>4.0</v>
      </c>
      <c r="D47" s="6">
        <v>1.0</v>
      </c>
      <c r="E47" s="6">
        <v>2.0</v>
      </c>
      <c r="F47" s="6">
        <v>1.0</v>
      </c>
      <c r="G47" s="6">
        <v>2.0</v>
      </c>
      <c r="H47" s="6">
        <v>2.0</v>
      </c>
      <c r="I47" s="6">
        <v>1.0</v>
      </c>
      <c r="J47" s="6">
        <v>1.0</v>
      </c>
      <c r="K47" s="6">
        <v>1.0</v>
      </c>
      <c r="L47" s="6">
        <v>1.0</v>
      </c>
      <c r="M47" s="6">
        <v>4.0</v>
      </c>
      <c r="N47" s="6">
        <v>2.0</v>
      </c>
      <c r="O47" s="6">
        <v>2.0</v>
      </c>
      <c r="P47" s="6">
        <v>1.0</v>
      </c>
      <c r="Q47" s="6">
        <v>3.0</v>
      </c>
      <c r="R47" s="6">
        <v>0.0</v>
      </c>
      <c r="S47" s="6">
        <v>0.0</v>
      </c>
      <c r="T47" s="6">
        <v>3.0</v>
      </c>
      <c r="U47" s="6">
        <v>1.0</v>
      </c>
      <c r="V47" s="6">
        <v>1.0</v>
      </c>
      <c r="W47" s="6">
        <v>2.0</v>
      </c>
      <c r="X47" s="6">
        <v>1.0</v>
      </c>
      <c r="Y47" s="6">
        <v>4.0</v>
      </c>
      <c r="Z47" s="6">
        <v>2.0</v>
      </c>
      <c r="AA47" s="6">
        <v>2.0</v>
      </c>
    </row>
    <row r="48">
      <c r="A48" s="6">
        <v>99.0</v>
      </c>
      <c r="B48" s="6">
        <v>6.0</v>
      </c>
      <c r="C48" s="6">
        <v>1.0</v>
      </c>
      <c r="D48" s="6">
        <v>1.0</v>
      </c>
      <c r="E48" s="6">
        <v>1.0</v>
      </c>
      <c r="F48" s="6">
        <v>1.0</v>
      </c>
      <c r="G48" s="6">
        <v>2.0</v>
      </c>
      <c r="H48" s="6">
        <v>3.0</v>
      </c>
      <c r="I48" s="6">
        <v>4.0</v>
      </c>
      <c r="J48" s="6">
        <v>1.0</v>
      </c>
      <c r="K48" s="6">
        <v>1.0</v>
      </c>
      <c r="L48" s="6">
        <v>1.0</v>
      </c>
      <c r="M48" s="6">
        <v>4.0</v>
      </c>
      <c r="N48" s="6">
        <v>3.0</v>
      </c>
      <c r="O48" s="6">
        <v>3.0</v>
      </c>
      <c r="P48" s="6">
        <v>1.0</v>
      </c>
      <c r="Q48" s="6">
        <v>2.0</v>
      </c>
      <c r="R48" s="6">
        <v>1.0</v>
      </c>
      <c r="S48" s="6">
        <v>4.0</v>
      </c>
      <c r="T48" s="6">
        <v>3.0</v>
      </c>
      <c r="U48" s="6">
        <v>3.0</v>
      </c>
      <c r="V48" s="6">
        <v>1.0</v>
      </c>
      <c r="W48" s="6">
        <v>2.0</v>
      </c>
      <c r="X48" s="6">
        <v>1.0</v>
      </c>
      <c r="Y48" s="6">
        <v>4.0</v>
      </c>
      <c r="Z48" s="6">
        <v>4.0</v>
      </c>
      <c r="AA48" s="6">
        <v>3.0</v>
      </c>
    </row>
    <row r="49">
      <c r="A49" s="6">
        <v>100.0</v>
      </c>
      <c r="B49" s="6">
        <v>3.0</v>
      </c>
      <c r="C49" s="6">
        <v>3.0</v>
      </c>
      <c r="D49" s="6">
        <v>1.0</v>
      </c>
      <c r="E49" s="6">
        <v>2.0</v>
      </c>
      <c r="F49" s="6">
        <v>1.0</v>
      </c>
      <c r="G49" s="6">
        <v>4.0</v>
      </c>
      <c r="H49" s="6">
        <v>3.0</v>
      </c>
      <c r="I49" s="6">
        <v>1.0</v>
      </c>
      <c r="J49" s="6">
        <v>3.0</v>
      </c>
      <c r="K49" s="6">
        <v>2.0</v>
      </c>
      <c r="L49" s="6">
        <v>1.0</v>
      </c>
      <c r="M49" s="6">
        <v>4.0</v>
      </c>
      <c r="N49" s="6">
        <v>3.0</v>
      </c>
      <c r="O49" s="6">
        <v>1.0</v>
      </c>
      <c r="P49" s="6">
        <v>1.0</v>
      </c>
      <c r="Q49" s="6">
        <v>2.0</v>
      </c>
      <c r="R49" s="6">
        <v>1.0</v>
      </c>
      <c r="S49" s="6">
        <v>4.0</v>
      </c>
      <c r="T49" s="6">
        <v>2.0</v>
      </c>
      <c r="U49" s="6">
        <v>1.0</v>
      </c>
      <c r="V49" s="6">
        <v>1.0</v>
      </c>
      <c r="W49" s="6">
        <v>2.0</v>
      </c>
      <c r="X49" s="6">
        <v>1.0</v>
      </c>
      <c r="Y49" s="6">
        <v>2.0</v>
      </c>
      <c r="Z49" s="6">
        <v>3.0</v>
      </c>
      <c r="AA49" s="6">
        <v>1.0</v>
      </c>
    </row>
    <row r="50">
      <c r="A50" s="6">
        <v>101.0</v>
      </c>
      <c r="B50" s="6">
        <v>5.0</v>
      </c>
      <c r="C50" s="6">
        <v>2.0</v>
      </c>
      <c r="D50" s="6">
        <v>1.0</v>
      </c>
      <c r="E50" s="6">
        <v>2.0</v>
      </c>
      <c r="F50" s="6">
        <v>1.0</v>
      </c>
      <c r="G50" s="6">
        <v>4.0</v>
      </c>
      <c r="H50" s="6">
        <v>5.0</v>
      </c>
      <c r="I50" s="6">
        <v>3.0</v>
      </c>
      <c r="J50" s="6">
        <v>2.0</v>
      </c>
      <c r="K50" s="6">
        <v>3.0</v>
      </c>
      <c r="L50" s="6">
        <v>1.0</v>
      </c>
      <c r="M50" s="6">
        <v>2.0</v>
      </c>
      <c r="N50" s="6">
        <v>5.0</v>
      </c>
      <c r="O50" s="6">
        <v>3.0</v>
      </c>
      <c r="P50" s="6">
        <v>1.0</v>
      </c>
      <c r="Q50" s="6">
        <v>2.0</v>
      </c>
      <c r="R50" s="6">
        <v>1.0</v>
      </c>
      <c r="S50" s="6">
        <v>2.0</v>
      </c>
      <c r="T50" s="6">
        <v>4.0</v>
      </c>
      <c r="U50" s="6">
        <v>4.0</v>
      </c>
      <c r="V50" s="6">
        <v>2.0</v>
      </c>
      <c r="W50" s="6">
        <v>2.0</v>
      </c>
      <c r="X50" s="6">
        <v>0.0</v>
      </c>
      <c r="Y50" s="6">
        <v>0.0</v>
      </c>
      <c r="Z50" s="6">
        <v>4.0</v>
      </c>
      <c r="AA50" s="6">
        <v>3.0</v>
      </c>
    </row>
    <row r="51">
      <c r="A51" s="6">
        <v>104.0</v>
      </c>
      <c r="B51" s="6">
        <v>2.0</v>
      </c>
      <c r="C51" s="6">
        <v>1.0</v>
      </c>
      <c r="D51" s="6">
        <v>1.0</v>
      </c>
      <c r="E51" s="6">
        <v>2.0</v>
      </c>
      <c r="F51" s="6">
        <v>1.0</v>
      </c>
      <c r="G51" s="6">
        <v>4.0</v>
      </c>
      <c r="H51" s="6">
        <v>1.0</v>
      </c>
      <c r="I51" s="6">
        <v>1.0</v>
      </c>
      <c r="J51" s="6">
        <v>3.0</v>
      </c>
      <c r="K51" s="6">
        <v>2.0</v>
      </c>
      <c r="L51" s="6">
        <v>1.0</v>
      </c>
      <c r="M51" s="6">
        <v>2.0</v>
      </c>
      <c r="N51" s="6">
        <v>3.0</v>
      </c>
      <c r="O51" s="6">
        <v>1.0</v>
      </c>
      <c r="P51" s="6">
        <v>1.0</v>
      </c>
      <c r="Q51" s="6">
        <v>2.0</v>
      </c>
      <c r="R51" s="6">
        <v>1.0</v>
      </c>
      <c r="S51" s="6">
        <v>4.0</v>
      </c>
      <c r="T51" s="6">
        <v>2.0</v>
      </c>
      <c r="U51" s="6">
        <v>1.0</v>
      </c>
      <c r="V51" s="6">
        <v>1.0</v>
      </c>
      <c r="W51" s="6">
        <v>2.0</v>
      </c>
      <c r="X51" s="6">
        <v>1.0</v>
      </c>
      <c r="Y51" s="6">
        <v>2.0</v>
      </c>
      <c r="Z51" s="6">
        <v>1.0</v>
      </c>
      <c r="AA51" s="6">
        <v>1.0</v>
      </c>
    </row>
    <row r="52">
      <c r="A52" s="6">
        <v>106.0</v>
      </c>
      <c r="B52" s="6">
        <v>1.0</v>
      </c>
      <c r="C52" s="6">
        <v>2.0</v>
      </c>
      <c r="D52" s="6">
        <v>1.0</v>
      </c>
      <c r="E52" s="6">
        <v>2.0</v>
      </c>
      <c r="F52" s="6">
        <v>1.0</v>
      </c>
      <c r="G52" s="6">
        <v>4.0</v>
      </c>
      <c r="H52" s="6">
        <v>1.0</v>
      </c>
      <c r="I52" s="6">
        <v>1.0</v>
      </c>
      <c r="J52" s="6">
        <v>1.0</v>
      </c>
      <c r="K52" s="6">
        <v>3.0</v>
      </c>
      <c r="L52" s="6">
        <v>0.0</v>
      </c>
      <c r="M52" s="6">
        <v>0.0</v>
      </c>
      <c r="N52" s="6">
        <v>2.0</v>
      </c>
      <c r="O52" s="6">
        <v>1.0</v>
      </c>
      <c r="P52" s="6">
        <v>1.0</v>
      </c>
      <c r="Q52" s="6">
        <v>2.0</v>
      </c>
      <c r="R52" s="6">
        <v>1.0</v>
      </c>
      <c r="S52" s="6">
        <v>2.0</v>
      </c>
      <c r="T52" s="6">
        <v>2.0</v>
      </c>
      <c r="U52" s="6">
        <v>1.0</v>
      </c>
      <c r="V52" s="6">
        <v>1.0</v>
      </c>
      <c r="W52" s="6">
        <v>2.0</v>
      </c>
      <c r="X52" s="6">
        <v>1.0</v>
      </c>
      <c r="Y52" s="6">
        <v>4.0</v>
      </c>
      <c r="Z52" s="6">
        <v>2.0</v>
      </c>
      <c r="AA52" s="6">
        <v>1.0</v>
      </c>
    </row>
    <row r="53">
      <c r="A53" s="6">
        <v>108.0</v>
      </c>
      <c r="B53" s="6">
        <v>2.0</v>
      </c>
      <c r="C53" s="6">
        <v>2.0</v>
      </c>
      <c r="D53" s="6">
        <v>3.0</v>
      </c>
      <c r="E53" s="6">
        <v>1.0</v>
      </c>
      <c r="F53" s="6">
        <v>0.0</v>
      </c>
      <c r="G53" s="6">
        <v>2.0</v>
      </c>
      <c r="H53" s="6">
        <v>2.0</v>
      </c>
      <c r="I53" s="6">
        <v>3.0</v>
      </c>
      <c r="J53" s="6">
        <v>2.0</v>
      </c>
      <c r="K53" s="6">
        <v>1.0</v>
      </c>
      <c r="L53" s="6">
        <v>1.0</v>
      </c>
      <c r="M53" s="6">
        <v>4.0</v>
      </c>
      <c r="N53" s="6">
        <v>2.0</v>
      </c>
      <c r="O53" s="6">
        <v>3.0</v>
      </c>
      <c r="P53" s="6">
        <v>2.0</v>
      </c>
      <c r="Q53" s="6">
        <v>2.0</v>
      </c>
      <c r="R53" s="6">
        <v>0.0</v>
      </c>
      <c r="S53" s="6">
        <v>2.0</v>
      </c>
      <c r="T53" s="6">
        <v>3.0</v>
      </c>
      <c r="U53" s="6">
        <v>2.0</v>
      </c>
      <c r="V53" s="6">
        <v>3.0</v>
      </c>
      <c r="W53" s="6">
        <v>1.0</v>
      </c>
      <c r="X53" s="6">
        <v>0.0</v>
      </c>
      <c r="Y53" s="6">
        <v>2.0</v>
      </c>
      <c r="Z53" s="6">
        <v>3.0</v>
      </c>
      <c r="AA53" s="6">
        <v>2.0</v>
      </c>
    </row>
    <row r="54">
      <c r="A54" s="6">
        <v>109.0</v>
      </c>
      <c r="B54" s="6">
        <v>4.0</v>
      </c>
      <c r="C54" s="6">
        <v>1.0</v>
      </c>
      <c r="D54" s="6">
        <v>1.0</v>
      </c>
      <c r="E54" s="6">
        <v>1.0</v>
      </c>
      <c r="F54" s="6">
        <v>1.0</v>
      </c>
      <c r="G54" s="6">
        <v>4.0</v>
      </c>
      <c r="H54" s="6">
        <v>1.0</v>
      </c>
      <c r="I54" s="6">
        <v>2.0</v>
      </c>
      <c r="J54" s="6">
        <v>2.0</v>
      </c>
      <c r="K54" s="6">
        <v>2.0</v>
      </c>
      <c r="L54" s="6">
        <v>0.0</v>
      </c>
      <c r="M54" s="6">
        <v>0.0</v>
      </c>
      <c r="N54" s="6">
        <v>2.0</v>
      </c>
      <c r="O54" s="6">
        <v>3.0</v>
      </c>
      <c r="P54" s="6">
        <v>1.0</v>
      </c>
      <c r="Q54" s="6">
        <v>2.0</v>
      </c>
      <c r="R54" s="6">
        <v>1.0</v>
      </c>
      <c r="S54" s="6">
        <v>4.0</v>
      </c>
      <c r="T54" s="6">
        <v>1.0</v>
      </c>
      <c r="U54" s="6">
        <v>1.0</v>
      </c>
      <c r="V54" s="6">
        <v>1.0</v>
      </c>
      <c r="W54" s="6">
        <v>1.0</v>
      </c>
      <c r="X54" s="6">
        <v>1.0</v>
      </c>
      <c r="Y54" s="6">
        <v>4.0</v>
      </c>
      <c r="Z54" s="6">
        <v>1.0</v>
      </c>
      <c r="AA54" s="6">
        <v>1.0</v>
      </c>
    </row>
    <row r="55">
      <c r="A55" s="6">
        <v>111.0</v>
      </c>
      <c r="B55" s="6">
        <v>2.0</v>
      </c>
      <c r="C55" s="6">
        <v>2.0</v>
      </c>
      <c r="D55" s="6">
        <v>1.0</v>
      </c>
      <c r="E55" s="6">
        <v>2.0</v>
      </c>
      <c r="F55" s="6">
        <v>1.0</v>
      </c>
      <c r="G55" s="6">
        <v>4.0</v>
      </c>
      <c r="H55" s="6">
        <v>1.0</v>
      </c>
      <c r="I55" s="6">
        <v>1.0</v>
      </c>
      <c r="J55" s="6">
        <v>1.0</v>
      </c>
      <c r="K55" s="6">
        <v>2.0</v>
      </c>
      <c r="L55" s="6">
        <v>1.0</v>
      </c>
      <c r="M55" s="6">
        <v>4.0</v>
      </c>
      <c r="N55" s="6">
        <v>1.0</v>
      </c>
      <c r="O55" s="6">
        <v>1.0</v>
      </c>
      <c r="P55" s="6">
        <v>1.0</v>
      </c>
      <c r="Q55" s="6">
        <v>2.0</v>
      </c>
      <c r="R55" s="6">
        <v>1.0</v>
      </c>
      <c r="S55" s="6">
        <v>4.0</v>
      </c>
      <c r="T55" s="6">
        <v>1.0</v>
      </c>
      <c r="U55" s="6">
        <v>1.0</v>
      </c>
      <c r="V55" s="6">
        <v>1.0</v>
      </c>
      <c r="W55" s="6">
        <v>2.0</v>
      </c>
      <c r="X55" s="6">
        <v>1.0</v>
      </c>
      <c r="Y55" s="6">
        <v>4.0</v>
      </c>
      <c r="Z55" s="6">
        <v>1.0</v>
      </c>
      <c r="AA55" s="6">
        <v>1.0</v>
      </c>
    </row>
    <row r="56">
      <c r="A56" s="6">
        <v>112.0</v>
      </c>
      <c r="B56" s="6">
        <v>2.0</v>
      </c>
      <c r="C56" s="6">
        <v>1.0</v>
      </c>
      <c r="D56" s="6">
        <v>1.0</v>
      </c>
      <c r="E56" s="6">
        <v>2.0</v>
      </c>
      <c r="F56" s="6">
        <v>1.0</v>
      </c>
      <c r="G56" s="6">
        <v>2.0</v>
      </c>
      <c r="H56" s="6">
        <v>1.0</v>
      </c>
      <c r="I56" s="6">
        <v>1.0</v>
      </c>
      <c r="J56" s="6">
        <v>1.0</v>
      </c>
      <c r="K56" s="6">
        <v>2.0</v>
      </c>
      <c r="L56" s="6">
        <v>1.0</v>
      </c>
      <c r="M56" s="6">
        <v>4.0</v>
      </c>
      <c r="N56" s="6">
        <v>1.0</v>
      </c>
      <c r="O56" s="6">
        <v>1.0</v>
      </c>
      <c r="P56" s="6">
        <v>1.0</v>
      </c>
      <c r="Q56" s="6">
        <v>2.0</v>
      </c>
      <c r="R56" s="6">
        <v>1.0</v>
      </c>
      <c r="S56" s="6">
        <v>2.0</v>
      </c>
      <c r="T56" s="6">
        <v>1.0</v>
      </c>
      <c r="U56" s="6">
        <v>1.0</v>
      </c>
      <c r="V56" s="6">
        <v>1.0</v>
      </c>
      <c r="W56" s="6">
        <v>2.0</v>
      </c>
      <c r="X56" s="6">
        <v>1.0</v>
      </c>
      <c r="Y56" s="6">
        <v>4.0</v>
      </c>
      <c r="Z56" s="6">
        <v>2.0</v>
      </c>
      <c r="AA56" s="6">
        <v>1.0</v>
      </c>
    </row>
    <row r="57">
      <c r="A57" s="6">
        <v>113.0</v>
      </c>
      <c r="B57" s="6">
        <v>3.0</v>
      </c>
      <c r="C57" s="6">
        <v>4.0</v>
      </c>
      <c r="D57" s="6">
        <v>1.0</v>
      </c>
      <c r="E57" s="6">
        <v>2.0</v>
      </c>
      <c r="F57" s="6">
        <v>1.0</v>
      </c>
      <c r="G57" s="6">
        <v>2.0</v>
      </c>
      <c r="H57" s="6">
        <v>2.0</v>
      </c>
      <c r="I57" s="6">
        <v>1.0</v>
      </c>
      <c r="J57" s="6">
        <v>1.0</v>
      </c>
      <c r="K57" s="6">
        <v>3.0</v>
      </c>
      <c r="L57" s="6">
        <v>0.0</v>
      </c>
      <c r="M57" s="6">
        <v>0.0</v>
      </c>
      <c r="N57" s="6">
        <v>1.0</v>
      </c>
      <c r="O57" s="6">
        <v>1.0</v>
      </c>
      <c r="P57" s="6">
        <v>1.0</v>
      </c>
      <c r="Q57" s="6">
        <v>2.0</v>
      </c>
      <c r="R57" s="6">
        <v>1.0</v>
      </c>
      <c r="S57" s="6">
        <v>2.0</v>
      </c>
      <c r="T57" s="6">
        <v>1.0</v>
      </c>
      <c r="U57" s="6">
        <v>1.0</v>
      </c>
      <c r="V57" s="6">
        <v>1.0</v>
      </c>
      <c r="W57" s="6">
        <v>3.0</v>
      </c>
      <c r="X57" s="6">
        <v>0.0</v>
      </c>
      <c r="Y57" s="6">
        <v>0.0</v>
      </c>
      <c r="Z57" s="6">
        <v>2.0</v>
      </c>
      <c r="AA57" s="6">
        <v>1.0</v>
      </c>
    </row>
    <row r="58">
      <c r="A58" s="65"/>
      <c r="B58" s="65"/>
      <c r="C58" s="65"/>
      <c r="D58" s="65"/>
      <c r="E58" s="65">
        <f>MEDIAN(E2:E57)</f>
        <v>2</v>
      </c>
      <c r="F58" s="65"/>
      <c r="G58" s="65"/>
      <c r="H58" s="65"/>
      <c r="I58" s="65"/>
      <c r="J58" s="65"/>
      <c r="K58" s="65">
        <f>MEDIAN(K2:K57)</f>
        <v>2</v>
      </c>
      <c r="L58" s="65"/>
      <c r="M58" s="65"/>
      <c r="N58" s="65"/>
      <c r="O58" s="65"/>
      <c r="P58" s="65"/>
      <c r="Q58" s="65">
        <f>MEDIAN(Q2:Q57)</f>
        <v>2</v>
      </c>
      <c r="R58" s="65"/>
      <c r="S58" s="65"/>
      <c r="T58" s="65"/>
      <c r="U58" s="65"/>
      <c r="V58" s="65"/>
      <c r="W58" s="65">
        <f>MEDIAN(W2:W57)</f>
        <v>2</v>
      </c>
      <c r="X58" s="65"/>
      <c r="Y58" s="65"/>
      <c r="Z58" s="65"/>
      <c r="AA58" s="65"/>
    </row>
    <row r="59">
      <c r="A59" s="65"/>
      <c r="B59" s="65"/>
      <c r="C59" s="65"/>
      <c r="D59" s="65"/>
      <c r="E59" s="65">
        <f>AVERAGE(E2:E57)</f>
        <v>1.803571429</v>
      </c>
      <c r="F59" s="65"/>
      <c r="G59" s="65"/>
      <c r="H59" s="65"/>
      <c r="I59" s="65"/>
      <c r="J59" s="65"/>
      <c r="K59" s="65">
        <f>AVERAGE(K2:K57)</f>
        <v>1.910714286</v>
      </c>
      <c r="L59" s="65"/>
      <c r="M59" s="65"/>
      <c r="N59" s="65"/>
      <c r="O59" s="65"/>
      <c r="P59" s="65"/>
      <c r="Q59" s="65">
        <f>AVERAGE(Q2:Q57)</f>
        <v>1.982142857</v>
      </c>
      <c r="R59" s="65"/>
      <c r="S59" s="65"/>
      <c r="T59" s="65"/>
      <c r="U59" s="65"/>
      <c r="V59" s="65"/>
      <c r="W59" s="65">
        <f>AVERAGE(W2:W57)</f>
        <v>1.982142857</v>
      </c>
      <c r="X59" s="65"/>
      <c r="Y59" s="65"/>
      <c r="Z59" s="65"/>
      <c r="AA59" s="65"/>
    </row>
    <row r="62">
      <c r="A62" s="6" t="s">
        <v>1038</v>
      </c>
      <c r="C62" s="6" t="s">
        <v>1039</v>
      </c>
    </row>
    <row r="63">
      <c r="A63" s="66" t="s">
        <v>1040</v>
      </c>
      <c r="B63" s="66" t="s">
        <v>1042</v>
      </c>
      <c r="C63" s="66" t="s">
        <v>1040</v>
      </c>
      <c r="D63" s="66" t="s">
        <v>1042</v>
      </c>
    </row>
    <row r="64">
      <c r="A64" s="67" t="s">
        <v>611</v>
      </c>
      <c r="B64" s="66">
        <v>10.0</v>
      </c>
      <c r="C64" s="67" t="s">
        <v>1043</v>
      </c>
      <c r="D64" s="66">
        <v>16.0</v>
      </c>
    </row>
    <row r="65">
      <c r="A65" s="67" t="s">
        <v>593</v>
      </c>
      <c r="B65" s="66">
        <v>16.0</v>
      </c>
      <c r="C65" s="67" t="s">
        <v>621</v>
      </c>
      <c r="D65" s="66">
        <v>12.0</v>
      </c>
    </row>
    <row r="66">
      <c r="A66" s="67" t="s">
        <v>598</v>
      </c>
      <c r="B66" s="66">
        <v>14.0</v>
      </c>
      <c r="C66" s="67" t="s">
        <v>1044</v>
      </c>
      <c r="D66" s="66">
        <v>19.0</v>
      </c>
    </row>
    <row r="67">
      <c r="A67" s="67" t="s">
        <v>586</v>
      </c>
      <c r="B67" s="66">
        <v>5.0</v>
      </c>
      <c r="C67" s="67" t="s">
        <v>1045</v>
      </c>
      <c r="D67" s="66">
        <v>9.0</v>
      </c>
    </row>
    <row r="68">
      <c r="A68" s="67" t="s">
        <v>608</v>
      </c>
      <c r="B68" s="66">
        <v>6.0</v>
      </c>
    </row>
    <row r="69">
      <c r="A69" s="67" t="s">
        <v>603</v>
      </c>
      <c r="B69" s="66">
        <v>5.0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937</v>
      </c>
      <c r="B1" s="5"/>
      <c r="C1" s="5"/>
      <c r="D1" s="5"/>
      <c r="E1" s="5"/>
      <c r="F1" s="5"/>
      <c r="G1" s="5"/>
      <c r="H1" s="5"/>
      <c r="I1" s="5"/>
      <c r="J1" s="5"/>
      <c r="K1" s="5"/>
      <c r="L1" s="5"/>
      <c r="M1" s="5"/>
      <c r="N1" s="5"/>
      <c r="O1" s="5"/>
      <c r="P1" s="5"/>
      <c r="Q1" s="5"/>
      <c r="R1" s="5"/>
      <c r="S1" s="5"/>
      <c r="T1" s="5"/>
      <c r="U1" s="5"/>
      <c r="V1" s="5"/>
      <c r="W1" s="5"/>
      <c r="X1" s="5"/>
      <c r="Y1" s="5"/>
      <c r="Z1" s="5"/>
      <c r="AA1" s="5"/>
    </row>
    <row r="2">
      <c r="A2" s="7"/>
      <c r="B2" s="7"/>
      <c r="C2" s="8" t="s">
        <v>905</v>
      </c>
      <c r="D2" s="8" t="s">
        <v>907</v>
      </c>
      <c r="E2" s="8" t="s">
        <v>908</v>
      </c>
      <c r="F2" s="8" t="s">
        <v>910</v>
      </c>
      <c r="G2" s="8" t="s">
        <v>911</v>
      </c>
      <c r="H2" s="8" t="s">
        <v>912</v>
      </c>
      <c r="I2" s="8" t="s">
        <v>913</v>
      </c>
      <c r="J2" s="8" t="s">
        <v>914</v>
      </c>
      <c r="K2" s="8" t="s">
        <v>916</v>
      </c>
      <c r="L2" s="8" t="s">
        <v>917</v>
      </c>
      <c r="M2" s="8" t="s">
        <v>918</v>
      </c>
      <c r="N2" s="8" t="s">
        <v>919</v>
      </c>
      <c r="O2" s="8" t="s">
        <v>920</v>
      </c>
      <c r="P2" s="8" t="s">
        <v>922</v>
      </c>
      <c r="Q2" s="8" t="s">
        <v>923</v>
      </c>
      <c r="R2" s="8" t="s">
        <v>924</v>
      </c>
      <c r="S2" s="8" t="s">
        <v>938</v>
      </c>
      <c r="T2" s="8" t="s">
        <v>939</v>
      </c>
      <c r="U2" s="8" t="s">
        <v>928</v>
      </c>
      <c r="V2" s="8" t="s">
        <v>929</v>
      </c>
      <c r="W2" s="8" t="s">
        <v>930</v>
      </c>
      <c r="X2" s="8" t="s">
        <v>909</v>
      </c>
      <c r="Y2" s="8" t="s">
        <v>915</v>
      </c>
      <c r="Z2" s="8" t="s">
        <v>921</v>
      </c>
      <c r="AA2" s="8" t="s">
        <v>927</v>
      </c>
    </row>
    <row r="3">
      <c r="A3" s="9" t="s">
        <v>905</v>
      </c>
      <c r="B3" s="9" t="s">
        <v>940</v>
      </c>
      <c r="C3" s="10" t="s">
        <v>941</v>
      </c>
      <c r="D3" s="58"/>
      <c r="E3" s="58"/>
      <c r="F3" s="58"/>
      <c r="G3" s="58"/>
      <c r="H3" s="58"/>
      <c r="I3" s="58"/>
      <c r="J3" s="58"/>
      <c r="K3" s="58"/>
      <c r="L3" s="58"/>
      <c r="M3" s="58"/>
      <c r="N3" s="58"/>
      <c r="O3" s="58"/>
      <c r="P3" s="58"/>
      <c r="Q3" s="58"/>
      <c r="R3" s="58"/>
      <c r="S3" s="58"/>
      <c r="T3" s="58"/>
      <c r="U3" s="58"/>
      <c r="V3" s="58"/>
      <c r="W3" s="58"/>
      <c r="X3" s="58"/>
      <c r="Y3" s="58"/>
      <c r="Z3" s="58"/>
      <c r="AA3" s="58"/>
    </row>
    <row r="4">
      <c r="B4" s="9" t="s">
        <v>45</v>
      </c>
      <c r="C4" s="10" t="s">
        <v>941</v>
      </c>
      <c r="D4" s="58"/>
      <c r="E4" s="58"/>
      <c r="F4" s="58"/>
      <c r="G4" s="58"/>
      <c r="H4" s="58"/>
      <c r="I4" s="58"/>
      <c r="J4" s="58"/>
      <c r="K4" s="58"/>
      <c r="L4" s="58"/>
      <c r="M4" s="58"/>
      <c r="N4" s="58"/>
      <c r="O4" s="58"/>
      <c r="P4" s="58"/>
      <c r="Q4" s="58"/>
      <c r="R4" s="58"/>
      <c r="S4" s="58"/>
      <c r="T4" s="58"/>
      <c r="U4" s="58"/>
      <c r="V4" s="58"/>
      <c r="W4" s="58"/>
      <c r="X4" s="58"/>
      <c r="Y4" s="58"/>
      <c r="Z4" s="58"/>
      <c r="AA4" s="58"/>
    </row>
    <row r="5">
      <c r="B5" s="9" t="s">
        <v>942</v>
      </c>
      <c r="C5" s="10" t="s">
        <v>941</v>
      </c>
      <c r="D5" s="58"/>
      <c r="E5" s="58"/>
      <c r="F5" s="58"/>
      <c r="G5" s="58"/>
      <c r="H5" s="58"/>
      <c r="I5" s="58"/>
      <c r="J5" s="58"/>
      <c r="K5" s="58"/>
      <c r="L5" s="58"/>
      <c r="M5" s="58"/>
      <c r="N5" s="58"/>
      <c r="O5" s="58"/>
      <c r="P5" s="58"/>
      <c r="Q5" s="58"/>
      <c r="R5" s="58"/>
      <c r="S5" s="58"/>
      <c r="T5" s="58"/>
      <c r="U5" s="58"/>
      <c r="V5" s="58"/>
      <c r="W5" s="58"/>
      <c r="X5" s="58"/>
      <c r="Y5" s="58"/>
      <c r="Z5" s="58"/>
      <c r="AA5" s="58"/>
    </row>
    <row r="6">
      <c r="A6" s="9" t="s">
        <v>943</v>
      </c>
      <c r="B6" s="9" t="s">
        <v>940</v>
      </c>
      <c r="C6" s="10">
        <v>-0.122</v>
      </c>
      <c r="D6" s="10" t="s">
        <v>941</v>
      </c>
      <c r="E6" s="58"/>
      <c r="F6" s="58"/>
      <c r="G6" s="58"/>
      <c r="H6" s="58"/>
      <c r="I6" s="58"/>
      <c r="J6" s="58"/>
      <c r="K6" s="58"/>
      <c r="L6" s="58"/>
      <c r="M6" s="58"/>
      <c r="N6" s="58"/>
      <c r="O6" s="58"/>
      <c r="P6" s="58"/>
      <c r="Q6" s="58"/>
      <c r="R6" s="58"/>
      <c r="S6" s="58"/>
      <c r="T6" s="58"/>
      <c r="U6" s="58"/>
      <c r="V6" s="58"/>
      <c r="W6" s="58"/>
      <c r="X6" s="58"/>
      <c r="Y6" s="58"/>
      <c r="Z6" s="58"/>
      <c r="AA6" s="58"/>
    </row>
    <row r="7">
      <c r="B7" s="9" t="s">
        <v>45</v>
      </c>
      <c r="C7" s="10">
        <v>54.0</v>
      </c>
      <c r="D7" s="10" t="s">
        <v>941</v>
      </c>
      <c r="E7" s="58"/>
      <c r="F7" s="58"/>
      <c r="G7" s="58"/>
      <c r="H7" s="58"/>
      <c r="I7" s="58"/>
      <c r="J7" s="58"/>
      <c r="K7" s="58"/>
      <c r="L7" s="58"/>
      <c r="M7" s="58"/>
      <c r="N7" s="58"/>
      <c r="O7" s="58"/>
      <c r="P7" s="58"/>
      <c r="Q7" s="58"/>
      <c r="R7" s="58"/>
      <c r="S7" s="58"/>
      <c r="T7" s="58"/>
      <c r="U7" s="58"/>
      <c r="V7" s="58"/>
      <c r="W7" s="58"/>
      <c r="X7" s="58"/>
      <c r="Y7" s="58"/>
      <c r="Z7" s="58"/>
      <c r="AA7" s="58"/>
    </row>
    <row r="8">
      <c r="B8" s="9" t="s">
        <v>942</v>
      </c>
      <c r="C8" s="10">
        <v>0.371</v>
      </c>
      <c r="D8" s="10" t="s">
        <v>941</v>
      </c>
      <c r="E8" s="58"/>
      <c r="F8" s="58"/>
      <c r="G8" s="58"/>
      <c r="H8" s="58"/>
      <c r="I8" s="58"/>
      <c r="J8" s="58"/>
      <c r="K8" s="58"/>
      <c r="L8" s="58"/>
      <c r="M8" s="58"/>
      <c r="N8" s="58"/>
      <c r="O8" s="58"/>
      <c r="P8" s="58"/>
      <c r="Q8" s="58"/>
      <c r="R8" s="58"/>
      <c r="S8" s="58"/>
      <c r="T8" s="58"/>
      <c r="U8" s="58"/>
      <c r="V8" s="58"/>
      <c r="W8" s="58"/>
      <c r="X8" s="58"/>
      <c r="Y8" s="58"/>
      <c r="Z8" s="58"/>
      <c r="AA8" s="58"/>
    </row>
    <row r="9">
      <c r="A9" s="9" t="s">
        <v>944</v>
      </c>
      <c r="B9" s="9" t="s">
        <v>940</v>
      </c>
      <c r="C9" s="10">
        <v>-0.059</v>
      </c>
      <c r="D9" s="10">
        <v>-0.226</v>
      </c>
      <c r="E9" s="10" t="s">
        <v>941</v>
      </c>
      <c r="F9" s="58"/>
      <c r="G9" s="58"/>
      <c r="H9" s="58"/>
      <c r="I9" s="58"/>
      <c r="J9" s="58"/>
      <c r="K9" s="58"/>
      <c r="L9" s="58"/>
      <c r="M9" s="58"/>
      <c r="N9" s="58"/>
      <c r="O9" s="58"/>
      <c r="P9" s="58"/>
      <c r="Q9" s="58"/>
      <c r="R9" s="58"/>
      <c r="S9" s="58"/>
      <c r="T9" s="58"/>
      <c r="U9" s="58"/>
      <c r="V9" s="58"/>
      <c r="W9" s="58"/>
      <c r="X9" s="58"/>
      <c r="Y9" s="58"/>
      <c r="Z9" s="58"/>
      <c r="AA9" s="58"/>
    </row>
    <row r="10">
      <c r="B10" s="9" t="s">
        <v>45</v>
      </c>
      <c r="C10" s="10">
        <v>54.0</v>
      </c>
      <c r="D10" s="10">
        <v>54.0</v>
      </c>
      <c r="E10" s="10" t="s">
        <v>941</v>
      </c>
      <c r="F10" s="58"/>
      <c r="G10" s="58"/>
      <c r="H10" s="58"/>
      <c r="I10" s="58"/>
      <c r="J10" s="58"/>
      <c r="K10" s="58"/>
      <c r="L10" s="58"/>
      <c r="M10" s="58"/>
      <c r="N10" s="58"/>
      <c r="O10" s="58"/>
      <c r="P10" s="58"/>
      <c r="Q10" s="58"/>
      <c r="R10" s="58"/>
      <c r="S10" s="58"/>
      <c r="T10" s="58"/>
      <c r="U10" s="58"/>
      <c r="V10" s="58"/>
      <c r="W10" s="58"/>
      <c r="X10" s="58"/>
      <c r="Y10" s="58"/>
      <c r="Z10" s="58"/>
      <c r="AA10" s="58"/>
    </row>
    <row r="11">
      <c r="B11" s="9" t="s">
        <v>942</v>
      </c>
      <c r="C11" s="10">
        <v>0.663</v>
      </c>
      <c r="D11" s="10">
        <v>0.095</v>
      </c>
      <c r="E11" s="10" t="s">
        <v>941</v>
      </c>
      <c r="F11" s="58"/>
      <c r="G11" s="58"/>
      <c r="H11" s="58"/>
      <c r="I11" s="58"/>
      <c r="J11" s="58"/>
      <c r="K11" s="58"/>
      <c r="L11" s="58"/>
      <c r="M11" s="58"/>
      <c r="N11" s="58"/>
      <c r="O11" s="58"/>
      <c r="P11" s="58"/>
      <c r="Q11" s="58"/>
      <c r="R11" s="58"/>
      <c r="S11" s="58"/>
      <c r="T11" s="58"/>
      <c r="U11" s="58"/>
      <c r="V11" s="58"/>
      <c r="W11" s="58"/>
      <c r="X11" s="58"/>
      <c r="Y11" s="58"/>
      <c r="Z11" s="58"/>
      <c r="AA11" s="58"/>
    </row>
    <row r="12">
      <c r="A12" s="9" t="s">
        <v>910</v>
      </c>
      <c r="B12" s="9" t="s">
        <v>940</v>
      </c>
      <c r="C12" s="10" t="s">
        <v>945</v>
      </c>
      <c r="D12" s="10">
        <v>-0.184</v>
      </c>
      <c r="E12" s="10" t="s">
        <v>946</v>
      </c>
      <c r="F12" s="10" t="s">
        <v>941</v>
      </c>
      <c r="G12" s="58"/>
      <c r="H12" s="58"/>
      <c r="I12" s="58"/>
      <c r="J12" s="58"/>
      <c r="K12" s="58"/>
      <c r="L12" s="58"/>
      <c r="M12" s="58"/>
      <c r="N12" s="58"/>
      <c r="O12" s="58"/>
      <c r="P12" s="58"/>
      <c r="Q12" s="58"/>
      <c r="R12" s="58"/>
      <c r="S12" s="58"/>
      <c r="T12" s="58"/>
      <c r="U12" s="58"/>
      <c r="V12" s="58"/>
      <c r="W12" s="58"/>
      <c r="X12" s="58"/>
      <c r="Y12" s="58"/>
      <c r="Z12" s="58"/>
      <c r="AA12" s="58"/>
    </row>
    <row r="13">
      <c r="B13" s="9" t="s">
        <v>45</v>
      </c>
      <c r="C13" s="10">
        <v>54.0</v>
      </c>
      <c r="D13" s="10">
        <v>54.0</v>
      </c>
      <c r="E13" s="10">
        <v>54.0</v>
      </c>
      <c r="F13" s="10" t="s">
        <v>941</v>
      </c>
      <c r="G13" s="58"/>
      <c r="H13" s="58"/>
      <c r="I13" s="58"/>
      <c r="J13" s="58"/>
      <c r="K13" s="58"/>
      <c r="L13" s="58"/>
      <c r="M13" s="58"/>
      <c r="N13" s="58"/>
      <c r="O13" s="58"/>
      <c r="P13" s="58"/>
      <c r="Q13" s="58"/>
      <c r="R13" s="58"/>
      <c r="S13" s="58"/>
      <c r="T13" s="58"/>
      <c r="U13" s="58"/>
      <c r="V13" s="58"/>
      <c r="W13" s="58"/>
      <c r="X13" s="58"/>
      <c r="Y13" s="58"/>
      <c r="Z13" s="58"/>
      <c r="AA13" s="58"/>
    </row>
    <row r="14">
      <c r="B14" s="9" t="s">
        <v>942</v>
      </c>
      <c r="C14" s="10">
        <v>0.045</v>
      </c>
      <c r="D14" s="10">
        <v>0.176</v>
      </c>
      <c r="E14" s="10" t="s">
        <v>65</v>
      </c>
      <c r="F14" s="10" t="s">
        <v>941</v>
      </c>
      <c r="G14" s="58"/>
      <c r="H14" s="58"/>
      <c r="I14" s="58"/>
      <c r="J14" s="58"/>
      <c r="K14" s="58"/>
      <c r="L14" s="58"/>
      <c r="M14" s="58"/>
      <c r="N14" s="58"/>
      <c r="O14" s="58"/>
      <c r="P14" s="58"/>
      <c r="Q14" s="58"/>
      <c r="R14" s="58"/>
      <c r="S14" s="58"/>
      <c r="T14" s="58"/>
      <c r="U14" s="58"/>
      <c r="V14" s="58"/>
      <c r="W14" s="58"/>
      <c r="X14" s="58"/>
      <c r="Y14" s="58"/>
      <c r="Z14" s="58"/>
      <c r="AA14" s="58"/>
    </row>
    <row r="15">
      <c r="A15" s="9" t="s">
        <v>911</v>
      </c>
      <c r="B15" s="9" t="s">
        <v>940</v>
      </c>
      <c r="C15" s="10">
        <v>0.003</v>
      </c>
      <c r="D15" s="10">
        <v>-0.15</v>
      </c>
      <c r="E15" s="10">
        <v>0.186</v>
      </c>
      <c r="F15" s="10">
        <v>-0.068</v>
      </c>
      <c r="G15" s="10" t="s">
        <v>941</v>
      </c>
      <c r="H15" s="58"/>
      <c r="I15" s="58"/>
      <c r="J15" s="58"/>
      <c r="K15" s="58"/>
      <c r="L15" s="58"/>
      <c r="M15" s="58"/>
      <c r="N15" s="58"/>
      <c r="O15" s="58"/>
      <c r="P15" s="58"/>
      <c r="Q15" s="58"/>
      <c r="R15" s="58"/>
      <c r="S15" s="58"/>
      <c r="T15" s="58"/>
      <c r="U15" s="58"/>
      <c r="V15" s="58"/>
      <c r="W15" s="58"/>
      <c r="X15" s="58"/>
      <c r="Y15" s="58"/>
      <c r="Z15" s="58"/>
      <c r="AA15" s="58"/>
    </row>
    <row r="16">
      <c r="B16" s="9" t="s">
        <v>45</v>
      </c>
      <c r="C16" s="10">
        <v>54.0</v>
      </c>
      <c r="D16" s="10">
        <v>54.0</v>
      </c>
      <c r="E16" s="10">
        <v>54.0</v>
      </c>
      <c r="F16" s="10">
        <v>54.0</v>
      </c>
      <c r="G16" s="10" t="s">
        <v>941</v>
      </c>
      <c r="H16" s="58"/>
      <c r="I16" s="58"/>
      <c r="J16" s="58"/>
      <c r="K16" s="58"/>
      <c r="L16" s="58"/>
      <c r="M16" s="58"/>
      <c r="N16" s="58"/>
      <c r="O16" s="58"/>
      <c r="P16" s="58"/>
      <c r="Q16" s="58"/>
      <c r="R16" s="58"/>
      <c r="S16" s="58"/>
      <c r="T16" s="58"/>
      <c r="U16" s="58"/>
      <c r="V16" s="58"/>
      <c r="W16" s="58"/>
      <c r="X16" s="58"/>
      <c r="Y16" s="58"/>
      <c r="Z16" s="58"/>
      <c r="AA16" s="58"/>
    </row>
    <row r="17">
      <c r="B17" s="9" t="s">
        <v>942</v>
      </c>
      <c r="C17" s="10">
        <v>0.984</v>
      </c>
      <c r="D17" s="10">
        <v>0.27</v>
      </c>
      <c r="E17" s="10">
        <v>0.169</v>
      </c>
      <c r="F17" s="10">
        <v>0.62</v>
      </c>
      <c r="G17" s="10" t="s">
        <v>941</v>
      </c>
      <c r="H17" s="58"/>
      <c r="I17" s="58"/>
      <c r="J17" s="58"/>
      <c r="K17" s="58"/>
      <c r="L17" s="58"/>
      <c r="M17" s="58"/>
      <c r="N17" s="58"/>
      <c r="O17" s="58"/>
      <c r="P17" s="58"/>
      <c r="Q17" s="58"/>
      <c r="R17" s="58"/>
      <c r="S17" s="58"/>
      <c r="T17" s="58"/>
      <c r="U17" s="58"/>
      <c r="V17" s="58"/>
      <c r="W17" s="58"/>
      <c r="X17" s="58"/>
      <c r="Y17" s="58"/>
      <c r="Z17" s="58"/>
      <c r="AA17" s="58"/>
    </row>
    <row r="18">
      <c r="A18" s="9" t="s">
        <v>912</v>
      </c>
      <c r="B18" s="9" t="s">
        <v>940</v>
      </c>
      <c r="C18" s="10">
        <v>0.085</v>
      </c>
      <c r="D18" s="10">
        <v>0.068</v>
      </c>
      <c r="E18" s="10">
        <v>-0.067</v>
      </c>
      <c r="F18" s="10">
        <v>-0.009</v>
      </c>
      <c r="G18" s="10" t="s">
        <v>947</v>
      </c>
      <c r="H18" s="10" t="s">
        <v>941</v>
      </c>
      <c r="I18" s="58"/>
      <c r="J18" s="58"/>
      <c r="K18" s="58"/>
      <c r="L18" s="58"/>
      <c r="M18" s="58"/>
      <c r="N18" s="58"/>
      <c r="O18" s="58"/>
      <c r="P18" s="58"/>
      <c r="Q18" s="58"/>
      <c r="R18" s="58"/>
      <c r="S18" s="58"/>
      <c r="T18" s="58"/>
      <c r="U18" s="58"/>
      <c r="V18" s="58"/>
      <c r="W18" s="58"/>
      <c r="X18" s="58"/>
      <c r="Y18" s="58"/>
      <c r="Z18" s="58"/>
      <c r="AA18" s="58"/>
    </row>
    <row r="19">
      <c r="B19" s="9" t="s">
        <v>45</v>
      </c>
      <c r="C19" s="10">
        <v>54.0</v>
      </c>
      <c r="D19" s="10">
        <v>54.0</v>
      </c>
      <c r="E19" s="10">
        <v>54.0</v>
      </c>
      <c r="F19" s="10">
        <v>54.0</v>
      </c>
      <c r="G19" s="10">
        <v>54.0</v>
      </c>
      <c r="H19" s="10" t="s">
        <v>941</v>
      </c>
      <c r="I19" s="58"/>
      <c r="J19" s="58"/>
      <c r="K19" s="58"/>
      <c r="L19" s="58"/>
      <c r="M19" s="58"/>
      <c r="N19" s="58"/>
      <c r="O19" s="58"/>
      <c r="P19" s="58"/>
      <c r="Q19" s="58"/>
      <c r="R19" s="58"/>
      <c r="S19" s="58"/>
      <c r="T19" s="58"/>
      <c r="U19" s="58"/>
      <c r="V19" s="58"/>
      <c r="W19" s="58"/>
      <c r="X19" s="58"/>
      <c r="Y19" s="58"/>
      <c r="Z19" s="58"/>
      <c r="AA19" s="58"/>
    </row>
    <row r="20">
      <c r="B20" s="9" t="s">
        <v>942</v>
      </c>
      <c r="C20" s="10">
        <v>0.535</v>
      </c>
      <c r="D20" s="10">
        <v>0.618</v>
      </c>
      <c r="E20" s="10">
        <v>0.624</v>
      </c>
      <c r="F20" s="10">
        <v>0.945</v>
      </c>
      <c r="G20" s="10">
        <v>0.009</v>
      </c>
      <c r="H20" s="10" t="s">
        <v>941</v>
      </c>
      <c r="I20" s="58"/>
      <c r="J20" s="58"/>
      <c r="K20" s="58"/>
      <c r="L20" s="58"/>
      <c r="M20" s="58"/>
      <c r="N20" s="58"/>
      <c r="O20" s="58"/>
      <c r="P20" s="58"/>
      <c r="Q20" s="58"/>
      <c r="R20" s="58"/>
      <c r="S20" s="58"/>
      <c r="T20" s="58"/>
      <c r="U20" s="58"/>
      <c r="V20" s="58"/>
      <c r="W20" s="58"/>
      <c r="X20" s="58"/>
      <c r="Y20" s="58"/>
      <c r="Z20" s="58"/>
      <c r="AA20" s="58"/>
    </row>
    <row r="21">
      <c r="A21" s="9" t="s">
        <v>948</v>
      </c>
      <c r="B21" s="9" t="s">
        <v>940</v>
      </c>
      <c r="C21" s="10">
        <v>-0.038</v>
      </c>
      <c r="D21" s="10">
        <v>0.113</v>
      </c>
      <c r="E21" s="10">
        <v>-0.016</v>
      </c>
      <c r="F21" s="10">
        <v>0.164</v>
      </c>
      <c r="G21" s="10">
        <v>-0.033</v>
      </c>
      <c r="H21" s="10">
        <v>0.252</v>
      </c>
      <c r="I21" s="10" t="s">
        <v>941</v>
      </c>
      <c r="J21" s="58"/>
      <c r="K21" s="58"/>
      <c r="L21" s="58"/>
      <c r="M21" s="58"/>
      <c r="N21" s="58"/>
      <c r="O21" s="58"/>
      <c r="P21" s="58"/>
      <c r="Q21" s="58"/>
      <c r="R21" s="58"/>
      <c r="S21" s="58"/>
      <c r="T21" s="58"/>
      <c r="U21" s="58"/>
      <c r="V21" s="58"/>
      <c r="W21" s="58"/>
      <c r="X21" s="58"/>
      <c r="Y21" s="58"/>
      <c r="Z21" s="58"/>
      <c r="AA21" s="58"/>
    </row>
    <row r="22">
      <c r="B22" s="9" t="s">
        <v>45</v>
      </c>
      <c r="C22" s="10">
        <v>54.0</v>
      </c>
      <c r="D22" s="10">
        <v>54.0</v>
      </c>
      <c r="E22" s="10">
        <v>54.0</v>
      </c>
      <c r="F22" s="10">
        <v>54.0</v>
      </c>
      <c r="G22" s="10">
        <v>54.0</v>
      </c>
      <c r="H22" s="10">
        <v>54.0</v>
      </c>
      <c r="I22" s="10" t="s">
        <v>941</v>
      </c>
      <c r="J22" s="58"/>
      <c r="K22" s="58"/>
      <c r="L22" s="58"/>
      <c r="M22" s="58"/>
      <c r="N22" s="58"/>
      <c r="O22" s="58"/>
      <c r="P22" s="58"/>
      <c r="Q22" s="58"/>
      <c r="R22" s="58"/>
      <c r="S22" s="58"/>
      <c r="T22" s="58"/>
      <c r="U22" s="58"/>
      <c r="V22" s="58"/>
      <c r="W22" s="58"/>
      <c r="X22" s="58"/>
      <c r="Y22" s="58"/>
      <c r="Z22" s="58"/>
      <c r="AA22" s="58"/>
    </row>
    <row r="23">
      <c r="B23" s="9" t="s">
        <v>942</v>
      </c>
      <c r="C23" s="10">
        <v>0.782</v>
      </c>
      <c r="D23" s="10">
        <v>0.405</v>
      </c>
      <c r="E23" s="10">
        <v>0.907</v>
      </c>
      <c r="F23" s="10">
        <v>0.228</v>
      </c>
      <c r="G23" s="10">
        <v>0.81</v>
      </c>
      <c r="H23" s="10">
        <v>0.061</v>
      </c>
      <c r="I23" s="10" t="s">
        <v>941</v>
      </c>
      <c r="J23" s="58"/>
      <c r="K23" s="58"/>
      <c r="L23" s="58"/>
      <c r="M23" s="58"/>
      <c r="N23" s="58"/>
      <c r="O23" s="58"/>
      <c r="P23" s="58"/>
      <c r="Q23" s="58"/>
      <c r="R23" s="58"/>
      <c r="S23" s="58"/>
      <c r="T23" s="58"/>
      <c r="U23" s="58"/>
      <c r="V23" s="58"/>
      <c r="W23" s="58"/>
      <c r="X23" s="58"/>
      <c r="Y23" s="58"/>
      <c r="Z23" s="58"/>
      <c r="AA23" s="58"/>
    </row>
    <row r="24">
      <c r="A24" s="9" t="s">
        <v>949</v>
      </c>
      <c r="B24" s="9" t="s">
        <v>940</v>
      </c>
      <c r="C24" s="10">
        <v>-0.079</v>
      </c>
      <c r="D24" s="10" t="s">
        <v>950</v>
      </c>
      <c r="E24" s="10" t="s">
        <v>951</v>
      </c>
      <c r="F24" s="10">
        <v>-0.1</v>
      </c>
      <c r="G24" s="10">
        <v>0.14</v>
      </c>
      <c r="H24" s="10">
        <v>-0.065</v>
      </c>
      <c r="I24" s="10">
        <v>-0.045</v>
      </c>
      <c r="J24" s="10" t="s">
        <v>941</v>
      </c>
      <c r="K24" s="58"/>
      <c r="L24" s="58"/>
      <c r="M24" s="58"/>
      <c r="N24" s="58"/>
      <c r="O24" s="58"/>
      <c r="P24" s="58"/>
      <c r="Q24" s="58"/>
      <c r="R24" s="58"/>
      <c r="S24" s="58"/>
      <c r="T24" s="58"/>
      <c r="U24" s="58"/>
      <c r="V24" s="58"/>
      <c r="W24" s="58"/>
      <c r="X24" s="58"/>
      <c r="Y24" s="58"/>
      <c r="Z24" s="58"/>
      <c r="AA24" s="58"/>
    </row>
    <row r="25">
      <c r="B25" s="9" t="s">
        <v>45</v>
      </c>
      <c r="C25" s="10">
        <v>54.0</v>
      </c>
      <c r="D25" s="10">
        <v>54.0</v>
      </c>
      <c r="E25" s="10">
        <v>54.0</v>
      </c>
      <c r="F25" s="10">
        <v>54.0</v>
      </c>
      <c r="G25" s="10">
        <v>54.0</v>
      </c>
      <c r="H25" s="10">
        <v>54.0</v>
      </c>
      <c r="I25" s="10">
        <v>54.0</v>
      </c>
      <c r="J25" s="10" t="s">
        <v>941</v>
      </c>
      <c r="K25" s="58"/>
      <c r="L25" s="58"/>
      <c r="M25" s="58"/>
      <c r="N25" s="58"/>
      <c r="O25" s="58"/>
      <c r="P25" s="58"/>
      <c r="Q25" s="58"/>
      <c r="R25" s="58"/>
      <c r="S25" s="58"/>
      <c r="T25" s="58"/>
      <c r="U25" s="58"/>
      <c r="V25" s="58"/>
      <c r="W25" s="58"/>
      <c r="X25" s="58"/>
      <c r="Y25" s="58"/>
      <c r="Z25" s="58"/>
      <c r="AA25" s="58"/>
    </row>
    <row r="26">
      <c r="B26" s="9" t="s">
        <v>942</v>
      </c>
      <c r="C26" s="10">
        <v>0.564</v>
      </c>
      <c r="D26" s="10">
        <v>0.034</v>
      </c>
      <c r="E26" s="10" t="s">
        <v>65</v>
      </c>
      <c r="F26" s="10">
        <v>0.462</v>
      </c>
      <c r="G26" s="10">
        <v>0.305</v>
      </c>
      <c r="H26" s="10">
        <v>0.633</v>
      </c>
      <c r="I26" s="10">
        <v>0.742</v>
      </c>
      <c r="J26" s="10" t="s">
        <v>941</v>
      </c>
      <c r="K26" s="58"/>
      <c r="L26" s="58"/>
      <c r="M26" s="58"/>
      <c r="N26" s="58"/>
      <c r="O26" s="58"/>
      <c r="P26" s="58"/>
      <c r="Q26" s="58"/>
      <c r="R26" s="58"/>
      <c r="S26" s="58"/>
      <c r="T26" s="58"/>
      <c r="U26" s="58"/>
      <c r="V26" s="58"/>
      <c r="W26" s="58"/>
      <c r="X26" s="58"/>
      <c r="Y26" s="58"/>
      <c r="Z26" s="58"/>
      <c r="AA26" s="58"/>
    </row>
    <row r="27">
      <c r="A27" s="9" t="s">
        <v>916</v>
      </c>
      <c r="B27" s="9" t="s">
        <v>940</v>
      </c>
      <c r="C27" s="10">
        <v>0.082</v>
      </c>
      <c r="D27" s="10">
        <v>0.161</v>
      </c>
      <c r="E27" s="10" t="s">
        <v>952</v>
      </c>
      <c r="F27" s="10">
        <v>0.199</v>
      </c>
      <c r="G27" s="10">
        <v>-0.172</v>
      </c>
      <c r="H27" s="10">
        <v>-0.052</v>
      </c>
      <c r="I27" s="10">
        <v>-0.258</v>
      </c>
      <c r="J27" s="10" t="s">
        <v>953</v>
      </c>
      <c r="K27" s="10" t="s">
        <v>941</v>
      </c>
      <c r="L27" s="58"/>
      <c r="M27" s="58"/>
      <c r="N27" s="58"/>
      <c r="O27" s="58"/>
      <c r="P27" s="58"/>
      <c r="Q27" s="58"/>
      <c r="R27" s="58"/>
      <c r="S27" s="58"/>
      <c r="T27" s="58"/>
      <c r="U27" s="58"/>
      <c r="V27" s="58"/>
      <c r="W27" s="58"/>
      <c r="X27" s="58"/>
      <c r="Y27" s="58"/>
      <c r="Z27" s="58"/>
      <c r="AA27" s="58"/>
    </row>
    <row r="28">
      <c r="B28" s="9" t="s">
        <v>45</v>
      </c>
      <c r="C28" s="10">
        <v>54.0</v>
      </c>
      <c r="D28" s="10">
        <v>54.0</v>
      </c>
      <c r="E28" s="10">
        <v>54.0</v>
      </c>
      <c r="F28" s="10">
        <v>54.0</v>
      </c>
      <c r="G28" s="10">
        <v>54.0</v>
      </c>
      <c r="H28" s="10">
        <v>54.0</v>
      </c>
      <c r="I28" s="10">
        <v>54.0</v>
      </c>
      <c r="J28" s="10">
        <v>54.0</v>
      </c>
      <c r="K28" s="10" t="s">
        <v>941</v>
      </c>
      <c r="L28" s="58"/>
      <c r="M28" s="58"/>
      <c r="N28" s="58"/>
      <c r="O28" s="58"/>
      <c r="P28" s="58"/>
      <c r="Q28" s="58"/>
      <c r="R28" s="58"/>
      <c r="S28" s="58"/>
      <c r="T28" s="58"/>
      <c r="U28" s="58"/>
      <c r="V28" s="58"/>
      <c r="W28" s="58"/>
      <c r="X28" s="58"/>
      <c r="Y28" s="58"/>
      <c r="Z28" s="58"/>
      <c r="AA28" s="58"/>
    </row>
    <row r="29">
      <c r="B29" s="9" t="s">
        <v>942</v>
      </c>
      <c r="C29" s="10">
        <v>0.546</v>
      </c>
      <c r="D29" s="10">
        <v>0.237</v>
      </c>
      <c r="E29" s="10">
        <v>0.002</v>
      </c>
      <c r="F29" s="10">
        <v>0.141</v>
      </c>
      <c r="G29" s="10">
        <v>0.204</v>
      </c>
      <c r="H29" s="10">
        <v>0.701</v>
      </c>
      <c r="I29" s="10">
        <v>0.055</v>
      </c>
      <c r="J29" s="10" t="s">
        <v>65</v>
      </c>
      <c r="K29" s="10" t="s">
        <v>941</v>
      </c>
      <c r="L29" s="58"/>
      <c r="M29" s="58"/>
      <c r="N29" s="58"/>
      <c r="O29" s="58"/>
      <c r="P29" s="58"/>
      <c r="Q29" s="58"/>
      <c r="R29" s="58"/>
      <c r="S29" s="58"/>
      <c r="T29" s="58"/>
      <c r="U29" s="58"/>
      <c r="V29" s="58"/>
      <c r="W29" s="58"/>
      <c r="X29" s="58"/>
      <c r="Y29" s="58"/>
      <c r="Z29" s="58"/>
      <c r="AA29" s="58"/>
    </row>
    <row r="30">
      <c r="A30" s="9" t="s">
        <v>917</v>
      </c>
      <c r="B30" s="9" t="s">
        <v>940</v>
      </c>
      <c r="C30" s="10">
        <v>-0.01</v>
      </c>
      <c r="D30" s="10">
        <v>-0.192</v>
      </c>
      <c r="E30" s="10">
        <v>0.187</v>
      </c>
      <c r="F30" s="10">
        <v>0.006</v>
      </c>
      <c r="G30" s="10" t="s">
        <v>954</v>
      </c>
      <c r="H30" s="10" t="s">
        <v>955</v>
      </c>
      <c r="I30" s="10">
        <v>0.074</v>
      </c>
      <c r="J30" s="10">
        <v>0.178</v>
      </c>
      <c r="K30" s="10">
        <v>-0.211</v>
      </c>
      <c r="L30" s="10" t="s">
        <v>941</v>
      </c>
      <c r="M30" s="58"/>
      <c r="N30" s="58"/>
      <c r="O30" s="58"/>
      <c r="P30" s="58"/>
      <c r="Q30" s="58"/>
      <c r="R30" s="58"/>
      <c r="S30" s="58"/>
      <c r="T30" s="58"/>
      <c r="U30" s="58"/>
      <c r="V30" s="58"/>
      <c r="W30" s="58"/>
      <c r="X30" s="58"/>
      <c r="Y30" s="58"/>
      <c r="Z30" s="58"/>
      <c r="AA30" s="58"/>
    </row>
    <row r="31">
      <c r="B31" s="9" t="s">
        <v>45</v>
      </c>
      <c r="C31" s="10">
        <v>54.0</v>
      </c>
      <c r="D31" s="10">
        <v>54.0</v>
      </c>
      <c r="E31" s="10">
        <v>54.0</v>
      </c>
      <c r="F31" s="10">
        <v>54.0</v>
      </c>
      <c r="G31" s="10">
        <v>54.0</v>
      </c>
      <c r="H31" s="10">
        <v>54.0</v>
      </c>
      <c r="I31" s="10">
        <v>54.0</v>
      </c>
      <c r="J31" s="10">
        <v>54.0</v>
      </c>
      <c r="K31" s="10">
        <v>54.0</v>
      </c>
      <c r="L31" s="10" t="s">
        <v>941</v>
      </c>
      <c r="M31" s="58"/>
      <c r="N31" s="58"/>
      <c r="O31" s="58"/>
      <c r="P31" s="58"/>
      <c r="Q31" s="58"/>
      <c r="R31" s="58"/>
      <c r="S31" s="58"/>
      <c r="T31" s="58"/>
      <c r="U31" s="58"/>
      <c r="V31" s="58"/>
      <c r="W31" s="58"/>
      <c r="X31" s="58"/>
      <c r="Y31" s="58"/>
      <c r="Z31" s="58"/>
      <c r="AA31" s="58"/>
    </row>
    <row r="32">
      <c r="B32" s="9" t="s">
        <v>942</v>
      </c>
      <c r="C32" s="10">
        <v>0.944</v>
      </c>
      <c r="D32" s="10">
        <v>0.157</v>
      </c>
      <c r="E32" s="10">
        <v>0.168</v>
      </c>
      <c r="F32" s="10">
        <v>0.965</v>
      </c>
      <c r="G32" s="10" t="s">
        <v>65</v>
      </c>
      <c r="H32" s="10">
        <v>0.012</v>
      </c>
      <c r="I32" s="10">
        <v>0.59</v>
      </c>
      <c r="J32" s="10">
        <v>0.189</v>
      </c>
      <c r="K32" s="10">
        <v>0.118</v>
      </c>
      <c r="L32" s="10" t="s">
        <v>941</v>
      </c>
      <c r="M32" s="58"/>
      <c r="N32" s="58"/>
      <c r="O32" s="58"/>
      <c r="P32" s="58"/>
      <c r="Q32" s="58"/>
      <c r="R32" s="58"/>
      <c r="S32" s="58"/>
      <c r="T32" s="58"/>
      <c r="U32" s="58"/>
      <c r="V32" s="58"/>
      <c r="W32" s="58"/>
      <c r="X32" s="58"/>
      <c r="Y32" s="58"/>
      <c r="Z32" s="58"/>
      <c r="AA32" s="58"/>
    </row>
    <row r="33">
      <c r="A33" s="9" t="s">
        <v>918</v>
      </c>
      <c r="B33" s="9" t="s">
        <v>940</v>
      </c>
      <c r="C33" s="10">
        <v>0.064</v>
      </c>
      <c r="D33" s="10">
        <v>0.082</v>
      </c>
      <c r="E33" s="10">
        <v>-0.131</v>
      </c>
      <c r="F33" s="10">
        <v>0.079</v>
      </c>
      <c r="G33" s="10">
        <v>0.251</v>
      </c>
      <c r="H33" s="10" t="s">
        <v>956</v>
      </c>
      <c r="I33" s="10" t="s">
        <v>957</v>
      </c>
      <c r="J33" s="10">
        <v>-0.115</v>
      </c>
      <c r="K33" s="10">
        <v>-0.124</v>
      </c>
      <c r="L33" s="10">
        <v>0.26</v>
      </c>
      <c r="M33" s="10" t="s">
        <v>941</v>
      </c>
      <c r="N33" s="58"/>
      <c r="O33" s="58"/>
      <c r="P33" s="58"/>
      <c r="Q33" s="58"/>
      <c r="R33" s="58"/>
      <c r="S33" s="58"/>
      <c r="T33" s="58"/>
      <c r="U33" s="58"/>
      <c r="V33" s="58"/>
      <c r="W33" s="58"/>
      <c r="X33" s="58"/>
      <c r="Y33" s="58"/>
      <c r="Z33" s="58"/>
      <c r="AA33" s="58"/>
    </row>
    <row r="34">
      <c r="B34" s="9" t="s">
        <v>45</v>
      </c>
      <c r="C34" s="10">
        <v>54.0</v>
      </c>
      <c r="D34" s="10">
        <v>54.0</v>
      </c>
      <c r="E34" s="10">
        <v>54.0</v>
      </c>
      <c r="F34" s="10">
        <v>54.0</v>
      </c>
      <c r="G34" s="10">
        <v>54.0</v>
      </c>
      <c r="H34" s="10">
        <v>54.0</v>
      </c>
      <c r="I34" s="10">
        <v>54.0</v>
      </c>
      <c r="J34" s="10">
        <v>54.0</v>
      </c>
      <c r="K34" s="10">
        <v>54.0</v>
      </c>
      <c r="L34" s="10">
        <v>54.0</v>
      </c>
      <c r="M34" s="10" t="s">
        <v>941</v>
      </c>
      <c r="N34" s="58"/>
      <c r="O34" s="58"/>
      <c r="P34" s="58"/>
      <c r="Q34" s="58"/>
      <c r="R34" s="58"/>
      <c r="S34" s="58"/>
      <c r="T34" s="58"/>
      <c r="U34" s="58"/>
      <c r="V34" s="58"/>
      <c r="W34" s="58"/>
      <c r="X34" s="58"/>
      <c r="Y34" s="58"/>
      <c r="Z34" s="58"/>
      <c r="AA34" s="58"/>
    </row>
    <row r="35">
      <c r="B35" s="9" t="s">
        <v>942</v>
      </c>
      <c r="C35" s="10">
        <v>0.638</v>
      </c>
      <c r="D35" s="10">
        <v>0.548</v>
      </c>
      <c r="E35" s="10">
        <v>0.336</v>
      </c>
      <c r="F35" s="10">
        <v>0.562</v>
      </c>
      <c r="G35" s="10">
        <v>0.062</v>
      </c>
      <c r="H35" s="10" t="s">
        <v>65</v>
      </c>
      <c r="I35" s="10">
        <v>0.012</v>
      </c>
      <c r="J35" s="10">
        <v>0.397</v>
      </c>
      <c r="K35" s="10">
        <v>0.364</v>
      </c>
      <c r="L35" s="10">
        <v>0.053</v>
      </c>
      <c r="M35" s="10" t="s">
        <v>941</v>
      </c>
      <c r="N35" s="58"/>
      <c r="O35" s="58"/>
      <c r="P35" s="58"/>
      <c r="Q35" s="58"/>
      <c r="R35" s="58"/>
      <c r="S35" s="58"/>
      <c r="T35" s="58"/>
      <c r="U35" s="58"/>
      <c r="V35" s="58"/>
      <c r="W35" s="58"/>
      <c r="X35" s="58"/>
      <c r="Y35" s="58"/>
      <c r="Z35" s="58"/>
      <c r="AA35" s="58"/>
    </row>
    <row r="36">
      <c r="A36" s="9" t="s">
        <v>958</v>
      </c>
      <c r="B36" s="9" t="s">
        <v>940</v>
      </c>
      <c r="C36" s="10">
        <v>-0.242</v>
      </c>
      <c r="D36" s="10" t="s">
        <v>959</v>
      </c>
      <c r="E36" s="10">
        <v>-0.004</v>
      </c>
      <c r="F36" s="10">
        <v>-0.018</v>
      </c>
      <c r="G36" s="10">
        <v>-0.065</v>
      </c>
      <c r="H36" s="10">
        <v>-0.004</v>
      </c>
      <c r="I36" s="10">
        <v>0.256</v>
      </c>
      <c r="J36" s="10">
        <v>-0.048</v>
      </c>
      <c r="K36" s="10">
        <v>-0.098</v>
      </c>
      <c r="L36" s="10">
        <v>-0.082</v>
      </c>
      <c r="M36" s="10">
        <v>0.011</v>
      </c>
      <c r="N36" s="10" t="s">
        <v>941</v>
      </c>
      <c r="O36" s="58"/>
      <c r="P36" s="58"/>
      <c r="Q36" s="58"/>
      <c r="R36" s="58"/>
      <c r="S36" s="58"/>
      <c r="T36" s="58"/>
      <c r="U36" s="58"/>
      <c r="V36" s="58"/>
      <c r="W36" s="58"/>
      <c r="X36" s="58"/>
      <c r="Y36" s="58"/>
      <c r="Z36" s="58"/>
      <c r="AA36" s="58"/>
    </row>
    <row r="37">
      <c r="B37" s="9" t="s">
        <v>45</v>
      </c>
      <c r="C37" s="10">
        <v>54.0</v>
      </c>
      <c r="D37" s="10">
        <v>54.0</v>
      </c>
      <c r="E37" s="10">
        <v>54.0</v>
      </c>
      <c r="F37" s="10">
        <v>54.0</v>
      </c>
      <c r="G37" s="10">
        <v>54.0</v>
      </c>
      <c r="H37" s="10">
        <v>54.0</v>
      </c>
      <c r="I37" s="10">
        <v>54.0</v>
      </c>
      <c r="J37" s="10">
        <v>54.0</v>
      </c>
      <c r="K37" s="10">
        <v>54.0</v>
      </c>
      <c r="L37" s="10">
        <v>54.0</v>
      </c>
      <c r="M37" s="10">
        <v>54.0</v>
      </c>
      <c r="N37" s="10" t="s">
        <v>941</v>
      </c>
      <c r="O37" s="58"/>
      <c r="P37" s="58"/>
      <c r="Q37" s="58"/>
      <c r="R37" s="58"/>
      <c r="S37" s="58"/>
      <c r="T37" s="58"/>
      <c r="U37" s="58"/>
      <c r="V37" s="58"/>
      <c r="W37" s="58"/>
      <c r="X37" s="58"/>
      <c r="Y37" s="58"/>
      <c r="Z37" s="58"/>
      <c r="AA37" s="58"/>
    </row>
    <row r="38">
      <c r="B38" s="9" t="s">
        <v>942</v>
      </c>
      <c r="C38" s="10">
        <v>0.072</v>
      </c>
      <c r="D38" s="10">
        <v>0.039</v>
      </c>
      <c r="E38" s="10">
        <v>0.976</v>
      </c>
      <c r="F38" s="10">
        <v>0.897</v>
      </c>
      <c r="G38" s="10">
        <v>0.634</v>
      </c>
      <c r="H38" s="10">
        <v>0.974</v>
      </c>
      <c r="I38" s="10">
        <v>0.057</v>
      </c>
      <c r="J38" s="10">
        <v>0.723</v>
      </c>
      <c r="K38" s="10">
        <v>0.472</v>
      </c>
      <c r="L38" s="10">
        <v>0.549</v>
      </c>
      <c r="M38" s="10">
        <v>0.935</v>
      </c>
      <c r="N38" s="10" t="s">
        <v>941</v>
      </c>
      <c r="O38" s="58"/>
      <c r="P38" s="58"/>
      <c r="Q38" s="58"/>
      <c r="R38" s="58"/>
      <c r="S38" s="58"/>
      <c r="T38" s="58"/>
      <c r="U38" s="58"/>
      <c r="V38" s="58"/>
      <c r="W38" s="58"/>
      <c r="X38" s="58"/>
      <c r="Y38" s="58"/>
      <c r="Z38" s="58"/>
      <c r="AA38" s="58"/>
    </row>
    <row r="39">
      <c r="A39" s="9" t="s">
        <v>960</v>
      </c>
      <c r="B39" s="9" t="s">
        <v>940</v>
      </c>
      <c r="C39" s="10">
        <v>0.177</v>
      </c>
      <c r="D39" s="10">
        <v>0.009</v>
      </c>
      <c r="E39" s="10" t="s">
        <v>961</v>
      </c>
      <c r="F39" s="10" t="s">
        <v>962</v>
      </c>
      <c r="G39" s="10">
        <v>0.053</v>
      </c>
      <c r="H39" s="10">
        <v>-0.149</v>
      </c>
      <c r="I39" s="10">
        <v>-0.161</v>
      </c>
      <c r="J39" s="10">
        <v>0.245</v>
      </c>
      <c r="K39" s="10">
        <v>-0.168</v>
      </c>
      <c r="L39" s="10">
        <v>-0.012</v>
      </c>
      <c r="M39" s="10">
        <v>-0.132</v>
      </c>
      <c r="N39" s="10">
        <v>0.014</v>
      </c>
      <c r="O39" s="10" t="s">
        <v>941</v>
      </c>
      <c r="P39" s="58"/>
      <c r="Q39" s="58"/>
      <c r="R39" s="58"/>
      <c r="S39" s="58"/>
      <c r="T39" s="58"/>
      <c r="U39" s="58"/>
      <c r="V39" s="58"/>
      <c r="W39" s="58"/>
      <c r="X39" s="58"/>
      <c r="Y39" s="58"/>
      <c r="Z39" s="58"/>
      <c r="AA39" s="58"/>
    </row>
    <row r="40">
      <c r="B40" s="9" t="s">
        <v>45</v>
      </c>
      <c r="C40" s="10">
        <v>54.0</v>
      </c>
      <c r="D40" s="10">
        <v>54.0</v>
      </c>
      <c r="E40" s="10">
        <v>54.0</v>
      </c>
      <c r="F40" s="10">
        <v>54.0</v>
      </c>
      <c r="G40" s="10">
        <v>54.0</v>
      </c>
      <c r="H40" s="10">
        <v>54.0</v>
      </c>
      <c r="I40" s="10">
        <v>54.0</v>
      </c>
      <c r="J40" s="10">
        <v>54.0</v>
      </c>
      <c r="K40" s="10">
        <v>54.0</v>
      </c>
      <c r="L40" s="10">
        <v>54.0</v>
      </c>
      <c r="M40" s="10">
        <v>54.0</v>
      </c>
      <c r="N40" s="10">
        <v>54.0</v>
      </c>
      <c r="O40" s="10" t="s">
        <v>941</v>
      </c>
      <c r="P40" s="58"/>
      <c r="Q40" s="58"/>
      <c r="R40" s="58"/>
      <c r="S40" s="58"/>
      <c r="T40" s="58"/>
      <c r="U40" s="58"/>
      <c r="V40" s="58"/>
      <c r="W40" s="58"/>
      <c r="X40" s="58"/>
      <c r="Y40" s="58"/>
      <c r="Z40" s="58"/>
      <c r="AA40" s="58"/>
    </row>
    <row r="41">
      <c r="B41" s="9" t="s">
        <v>942</v>
      </c>
      <c r="C41" s="10">
        <v>0.192</v>
      </c>
      <c r="D41" s="10">
        <v>0.95</v>
      </c>
      <c r="E41" s="10">
        <v>0.019</v>
      </c>
      <c r="F41" s="10">
        <v>0.001</v>
      </c>
      <c r="G41" s="10">
        <v>0.699</v>
      </c>
      <c r="H41" s="10">
        <v>0.272</v>
      </c>
      <c r="I41" s="10">
        <v>0.237</v>
      </c>
      <c r="J41" s="10">
        <v>0.068</v>
      </c>
      <c r="K41" s="10">
        <v>0.216</v>
      </c>
      <c r="L41" s="10">
        <v>0.929</v>
      </c>
      <c r="M41" s="10">
        <v>0.331</v>
      </c>
      <c r="N41" s="10">
        <v>0.918</v>
      </c>
      <c r="O41" s="10" t="s">
        <v>941</v>
      </c>
      <c r="P41" s="58"/>
      <c r="Q41" s="58"/>
      <c r="R41" s="58"/>
      <c r="S41" s="58"/>
      <c r="T41" s="58"/>
      <c r="U41" s="58"/>
      <c r="V41" s="58"/>
      <c r="W41" s="58"/>
      <c r="X41" s="58"/>
      <c r="Y41" s="58"/>
      <c r="Z41" s="58"/>
      <c r="AA41" s="58"/>
    </row>
    <row r="42">
      <c r="A42" s="9" t="s">
        <v>922</v>
      </c>
      <c r="B42" s="9" t="s">
        <v>940</v>
      </c>
      <c r="C42" s="10">
        <v>-0.069</v>
      </c>
      <c r="D42" s="10">
        <v>-0.153</v>
      </c>
      <c r="E42" s="10" t="s">
        <v>963</v>
      </c>
      <c r="F42" s="10" t="s">
        <v>964</v>
      </c>
      <c r="G42" s="10">
        <v>0.159</v>
      </c>
      <c r="H42" s="10">
        <v>0.15</v>
      </c>
      <c r="I42" s="10">
        <v>-0.034</v>
      </c>
      <c r="J42" s="10" t="s">
        <v>965</v>
      </c>
      <c r="K42" s="10">
        <v>0.233</v>
      </c>
      <c r="L42" s="10" t="s">
        <v>966</v>
      </c>
      <c r="M42" s="10">
        <v>0.089</v>
      </c>
      <c r="N42" s="10" t="s">
        <v>967</v>
      </c>
      <c r="O42" s="10" t="s">
        <v>968</v>
      </c>
      <c r="P42" s="10" t="s">
        <v>941</v>
      </c>
      <c r="Q42" s="58"/>
      <c r="R42" s="58"/>
      <c r="S42" s="58"/>
      <c r="T42" s="58"/>
      <c r="U42" s="58"/>
      <c r="V42" s="58"/>
      <c r="W42" s="58"/>
      <c r="X42" s="58"/>
      <c r="Y42" s="58"/>
      <c r="Z42" s="58"/>
      <c r="AA42" s="58"/>
    </row>
    <row r="43">
      <c r="B43" s="9" t="s">
        <v>45</v>
      </c>
      <c r="C43" s="10">
        <v>54.0</v>
      </c>
      <c r="D43" s="10">
        <v>54.0</v>
      </c>
      <c r="E43" s="10">
        <v>54.0</v>
      </c>
      <c r="F43" s="10">
        <v>54.0</v>
      </c>
      <c r="G43" s="10">
        <v>54.0</v>
      </c>
      <c r="H43" s="10">
        <v>54.0</v>
      </c>
      <c r="I43" s="10">
        <v>54.0</v>
      </c>
      <c r="J43" s="10">
        <v>54.0</v>
      </c>
      <c r="K43" s="10">
        <v>54.0</v>
      </c>
      <c r="L43" s="10">
        <v>54.0</v>
      </c>
      <c r="M43" s="10">
        <v>54.0</v>
      </c>
      <c r="N43" s="10">
        <v>54.0</v>
      </c>
      <c r="O43" s="10">
        <v>54.0</v>
      </c>
      <c r="P43" s="10" t="s">
        <v>941</v>
      </c>
      <c r="Q43" s="58"/>
      <c r="R43" s="58"/>
      <c r="S43" s="58"/>
      <c r="T43" s="58"/>
      <c r="U43" s="58"/>
      <c r="V43" s="58"/>
      <c r="W43" s="58"/>
      <c r="X43" s="58"/>
      <c r="Y43" s="58"/>
      <c r="Z43" s="58"/>
      <c r="AA43" s="58"/>
    </row>
    <row r="44">
      <c r="B44" s="9" t="s">
        <v>942</v>
      </c>
      <c r="C44" s="10">
        <v>0.612</v>
      </c>
      <c r="D44" s="10">
        <v>0.26</v>
      </c>
      <c r="E44" s="10">
        <v>0.019</v>
      </c>
      <c r="F44" s="10">
        <v>0.032</v>
      </c>
      <c r="G44" s="10">
        <v>0.242</v>
      </c>
      <c r="H44" s="10">
        <v>0.271</v>
      </c>
      <c r="I44" s="10">
        <v>0.806</v>
      </c>
      <c r="J44" s="10">
        <v>0.035</v>
      </c>
      <c r="K44" s="10">
        <v>0.084</v>
      </c>
      <c r="L44" s="10">
        <v>0.047</v>
      </c>
      <c r="M44" s="10">
        <v>0.517</v>
      </c>
      <c r="N44" s="10">
        <v>0.002</v>
      </c>
      <c r="O44" s="10" t="s">
        <v>65</v>
      </c>
      <c r="P44" s="10" t="s">
        <v>941</v>
      </c>
      <c r="Q44" s="58"/>
      <c r="R44" s="58"/>
      <c r="S44" s="58"/>
      <c r="T44" s="58"/>
      <c r="U44" s="58"/>
      <c r="V44" s="58"/>
      <c r="W44" s="58"/>
      <c r="X44" s="58"/>
      <c r="Y44" s="58"/>
      <c r="Z44" s="58"/>
      <c r="AA44" s="58"/>
    </row>
    <row r="45">
      <c r="A45" s="9" t="s">
        <v>923</v>
      </c>
      <c r="B45" s="9" t="s">
        <v>940</v>
      </c>
      <c r="C45" s="10">
        <v>0.054</v>
      </c>
      <c r="D45" s="10">
        <v>0.056</v>
      </c>
      <c r="E45" s="10">
        <v>0.066</v>
      </c>
      <c r="F45" s="10">
        <v>-0.08</v>
      </c>
      <c r="G45" s="10" t="s">
        <v>969</v>
      </c>
      <c r="H45" s="10" t="s">
        <v>970</v>
      </c>
      <c r="I45" s="10">
        <v>-0.128</v>
      </c>
      <c r="J45" s="10">
        <v>0.025</v>
      </c>
      <c r="K45" s="10">
        <v>0.0</v>
      </c>
      <c r="L45" s="10" t="s">
        <v>971</v>
      </c>
      <c r="M45" s="10" t="s">
        <v>972</v>
      </c>
      <c r="N45" s="10">
        <v>-0.163</v>
      </c>
      <c r="O45" s="10">
        <v>-0.008</v>
      </c>
      <c r="P45" s="10">
        <v>0.152</v>
      </c>
      <c r="Q45" s="10" t="s">
        <v>941</v>
      </c>
      <c r="R45" s="58"/>
      <c r="S45" s="58"/>
      <c r="T45" s="58"/>
      <c r="U45" s="58"/>
      <c r="V45" s="58"/>
      <c r="W45" s="58"/>
      <c r="X45" s="58"/>
      <c r="Y45" s="58"/>
      <c r="Z45" s="58"/>
      <c r="AA45" s="58"/>
    </row>
    <row r="46">
      <c r="B46" s="9" t="s">
        <v>45</v>
      </c>
      <c r="C46" s="10">
        <v>54.0</v>
      </c>
      <c r="D46" s="10">
        <v>54.0</v>
      </c>
      <c r="E46" s="10">
        <v>54.0</v>
      </c>
      <c r="F46" s="10">
        <v>54.0</v>
      </c>
      <c r="G46" s="10">
        <v>54.0</v>
      </c>
      <c r="H46" s="10">
        <v>54.0</v>
      </c>
      <c r="I46" s="10">
        <v>54.0</v>
      </c>
      <c r="J46" s="10">
        <v>54.0</v>
      </c>
      <c r="K46" s="10">
        <v>54.0</v>
      </c>
      <c r="L46" s="10">
        <v>54.0</v>
      </c>
      <c r="M46" s="10">
        <v>54.0</v>
      </c>
      <c r="N46" s="10">
        <v>54.0</v>
      </c>
      <c r="O46" s="10">
        <v>54.0</v>
      </c>
      <c r="P46" s="10">
        <v>54.0</v>
      </c>
      <c r="Q46" s="10" t="s">
        <v>941</v>
      </c>
      <c r="R46" s="58"/>
      <c r="S46" s="58"/>
      <c r="T46" s="58"/>
      <c r="U46" s="58"/>
      <c r="V46" s="58"/>
      <c r="W46" s="58"/>
      <c r="X46" s="58"/>
      <c r="Y46" s="58"/>
      <c r="Z46" s="58"/>
      <c r="AA46" s="58"/>
    </row>
    <row r="47">
      <c r="B47" s="9" t="s">
        <v>942</v>
      </c>
      <c r="C47" s="10">
        <v>0.693</v>
      </c>
      <c r="D47" s="10">
        <v>0.68</v>
      </c>
      <c r="E47" s="10">
        <v>0.627</v>
      </c>
      <c r="F47" s="10">
        <v>0.56</v>
      </c>
      <c r="G47" s="10" t="s">
        <v>65</v>
      </c>
      <c r="H47" s="10" t="s">
        <v>65</v>
      </c>
      <c r="I47" s="10">
        <v>0.348</v>
      </c>
      <c r="J47" s="10">
        <v>0.856</v>
      </c>
      <c r="K47" s="10">
        <v>0.999</v>
      </c>
      <c r="L47" s="10" t="s">
        <v>65</v>
      </c>
      <c r="M47" s="10">
        <v>0.006</v>
      </c>
      <c r="N47" s="10">
        <v>0.23</v>
      </c>
      <c r="O47" s="10">
        <v>0.952</v>
      </c>
      <c r="P47" s="10">
        <v>0.263</v>
      </c>
      <c r="Q47" s="10" t="s">
        <v>941</v>
      </c>
      <c r="R47" s="58"/>
      <c r="S47" s="58"/>
      <c r="T47" s="58"/>
      <c r="U47" s="58"/>
      <c r="V47" s="58"/>
      <c r="W47" s="58"/>
      <c r="X47" s="58"/>
      <c r="Y47" s="58"/>
      <c r="Z47" s="58"/>
      <c r="AA47" s="58"/>
    </row>
    <row r="48">
      <c r="A48" s="9" t="s">
        <v>924</v>
      </c>
      <c r="B48" s="9" t="s">
        <v>940</v>
      </c>
      <c r="C48" s="10">
        <v>-0.061</v>
      </c>
      <c r="D48" s="10">
        <v>-0.013</v>
      </c>
      <c r="E48" s="10">
        <v>-0.096</v>
      </c>
      <c r="F48" s="10">
        <v>0.1</v>
      </c>
      <c r="G48" s="10" t="s">
        <v>973</v>
      </c>
      <c r="H48" s="10" t="s">
        <v>974</v>
      </c>
      <c r="I48" s="10">
        <v>0.019</v>
      </c>
      <c r="J48" s="10">
        <v>-0.096</v>
      </c>
      <c r="K48" s="10">
        <v>0.023</v>
      </c>
      <c r="L48" s="10" t="s">
        <v>975</v>
      </c>
      <c r="M48" s="10" t="s">
        <v>976</v>
      </c>
      <c r="N48" s="10">
        <v>-0.071</v>
      </c>
      <c r="O48" s="10">
        <v>-0.25</v>
      </c>
      <c r="P48" s="10">
        <v>0.174</v>
      </c>
      <c r="Q48" s="10" t="s">
        <v>977</v>
      </c>
      <c r="R48" s="10" t="s">
        <v>941</v>
      </c>
      <c r="S48" s="58"/>
      <c r="T48" s="58"/>
      <c r="U48" s="58"/>
      <c r="V48" s="58"/>
      <c r="W48" s="58"/>
      <c r="X48" s="58"/>
      <c r="Y48" s="58"/>
      <c r="Z48" s="58"/>
      <c r="AA48" s="58"/>
    </row>
    <row r="49">
      <c r="B49" s="9" t="s">
        <v>45</v>
      </c>
      <c r="C49" s="10">
        <v>54.0</v>
      </c>
      <c r="D49" s="10">
        <v>54.0</v>
      </c>
      <c r="E49" s="10">
        <v>54.0</v>
      </c>
      <c r="F49" s="10">
        <v>54.0</v>
      </c>
      <c r="G49" s="10">
        <v>54.0</v>
      </c>
      <c r="H49" s="10">
        <v>54.0</v>
      </c>
      <c r="I49" s="10">
        <v>54.0</v>
      </c>
      <c r="J49" s="10">
        <v>54.0</v>
      </c>
      <c r="K49" s="10">
        <v>54.0</v>
      </c>
      <c r="L49" s="10">
        <v>54.0</v>
      </c>
      <c r="M49" s="10">
        <v>54.0</v>
      </c>
      <c r="N49" s="10">
        <v>54.0</v>
      </c>
      <c r="O49" s="10">
        <v>54.0</v>
      </c>
      <c r="P49" s="10">
        <v>54.0</v>
      </c>
      <c r="Q49" s="10">
        <v>54.0</v>
      </c>
      <c r="R49" s="10" t="s">
        <v>941</v>
      </c>
      <c r="S49" s="58"/>
      <c r="T49" s="58"/>
      <c r="U49" s="58"/>
      <c r="V49" s="58"/>
      <c r="W49" s="58"/>
      <c r="X49" s="58"/>
      <c r="Y49" s="58"/>
      <c r="Z49" s="58"/>
      <c r="AA49" s="58"/>
    </row>
    <row r="50">
      <c r="B50" s="9" t="s">
        <v>942</v>
      </c>
      <c r="C50" s="10">
        <v>0.657</v>
      </c>
      <c r="D50" s="10">
        <v>0.923</v>
      </c>
      <c r="E50" s="10">
        <v>0.48</v>
      </c>
      <c r="F50" s="10">
        <v>0.462</v>
      </c>
      <c r="G50" s="10">
        <v>0.004</v>
      </c>
      <c r="H50" s="10" t="s">
        <v>65</v>
      </c>
      <c r="I50" s="10">
        <v>0.887</v>
      </c>
      <c r="J50" s="10">
        <v>0.483</v>
      </c>
      <c r="K50" s="10">
        <v>0.868</v>
      </c>
      <c r="L50" s="10">
        <v>0.044</v>
      </c>
      <c r="M50" s="10" t="s">
        <v>65</v>
      </c>
      <c r="N50" s="10">
        <v>0.603</v>
      </c>
      <c r="O50" s="10">
        <v>0.063</v>
      </c>
      <c r="P50" s="10">
        <v>0.201</v>
      </c>
      <c r="Q50" s="10" t="s">
        <v>65</v>
      </c>
      <c r="R50" s="10" t="s">
        <v>941</v>
      </c>
      <c r="S50" s="58"/>
      <c r="T50" s="58"/>
      <c r="U50" s="58"/>
      <c r="V50" s="58"/>
      <c r="W50" s="58"/>
      <c r="X50" s="58"/>
      <c r="Y50" s="58"/>
      <c r="Z50" s="58"/>
      <c r="AA50" s="58"/>
    </row>
    <row r="51">
      <c r="A51" s="9" t="s">
        <v>938</v>
      </c>
      <c r="B51" s="9" t="s">
        <v>940</v>
      </c>
      <c r="C51" s="10">
        <v>0.138</v>
      </c>
      <c r="D51" s="10" t="s">
        <v>979</v>
      </c>
      <c r="E51" s="10">
        <v>-0.077</v>
      </c>
      <c r="F51" s="10">
        <v>-0.076</v>
      </c>
      <c r="G51" s="10">
        <v>0.032</v>
      </c>
      <c r="H51" s="10">
        <v>0.129</v>
      </c>
      <c r="I51" s="10" t="s">
        <v>980</v>
      </c>
      <c r="J51" s="10">
        <v>-0.053</v>
      </c>
      <c r="K51" s="10">
        <v>0.011</v>
      </c>
      <c r="L51" s="10">
        <v>-0.031</v>
      </c>
      <c r="M51" s="10">
        <v>0.113</v>
      </c>
      <c r="N51" s="10" t="s">
        <v>981</v>
      </c>
      <c r="O51" s="10">
        <v>-0.114</v>
      </c>
      <c r="P51" s="10">
        <v>-0.042</v>
      </c>
      <c r="Q51" s="10">
        <v>0.083</v>
      </c>
      <c r="R51" s="10">
        <v>0.197</v>
      </c>
      <c r="S51" s="10" t="s">
        <v>941</v>
      </c>
      <c r="T51" s="58"/>
      <c r="U51" s="58"/>
      <c r="V51" s="58"/>
      <c r="W51" s="58"/>
      <c r="X51" s="58"/>
      <c r="Y51" s="58"/>
      <c r="Z51" s="58"/>
      <c r="AA51" s="58"/>
    </row>
    <row r="52">
      <c r="B52" s="9" t="s">
        <v>45</v>
      </c>
      <c r="C52" s="10">
        <v>54.0</v>
      </c>
      <c r="D52" s="10">
        <v>54.0</v>
      </c>
      <c r="E52" s="10">
        <v>54.0</v>
      </c>
      <c r="F52" s="10">
        <v>54.0</v>
      </c>
      <c r="G52" s="10">
        <v>54.0</v>
      </c>
      <c r="H52" s="10">
        <v>54.0</v>
      </c>
      <c r="I52" s="10">
        <v>54.0</v>
      </c>
      <c r="J52" s="10">
        <v>54.0</v>
      </c>
      <c r="K52" s="10">
        <v>54.0</v>
      </c>
      <c r="L52" s="10">
        <v>54.0</v>
      </c>
      <c r="M52" s="10">
        <v>54.0</v>
      </c>
      <c r="N52" s="10">
        <v>54.0</v>
      </c>
      <c r="O52" s="10">
        <v>54.0</v>
      </c>
      <c r="P52" s="10">
        <v>54.0</v>
      </c>
      <c r="Q52" s="10">
        <v>54.0</v>
      </c>
      <c r="R52" s="10">
        <v>54.0</v>
      </c>
      <c r="S52" s="10" t="s">
        <v>941</v>
      </c>
      <c r="T52" s="58"/>
      <c r="U52" s="58"/>
      <c r="V52" s="58"/>
      <c r="W52" s="58"/>
      <c r="X52" s="58"/>
      <c r="Y52" s="58"/>
      <c r="Z52" s="58"/>
      <c r="AA52" s="58"/>
    </row>
    <row r="53">
      <c r="B53" s="9" t="s">
        <v>942</v>
      </c>
      <c r="C53" s="10">
        <v>0.311</v>
      </c>
      <c r="D53" s="10">
        <v>0.043</v>
      </c>
      <c r="E53" s="10">
        <v>0.57</v>
      </c>
      <c r="F53" s="10">
        <v>0.578</v>
      </c>
      <c r="G53" s="10">
        <v>0.818</v>
      </c>
      <c r="H53" s="10">
        <v>0.342</v>
      </c>
      <c r="I53" s="10">
        <v>0.01</v>
      </c>
      <c r="J53" s="10">
        <v>0.699</v>
      </c>
      <c r="K53" s="10">
        <v>0.935</v>
      </c>
      <c r="L53" s="10">
        <v>0.821</v>
      </c>
      <c r="M53" s="10">
        <v>0.409</v>
      </c>
      <c r="N53" s="10">
        <v>0.02</v>
      </c>
      <c r="O53" s="10">
        <v>0.404</v>
      </c>
      <c r="P53" s="10">
        <v>0.758</v>
      </c>
      <c r="Q53" s="10">
        <v>0.543</v>
      </c>
      <c r="R53" s="10">
        <v>0.145</v>
      </c>
      <c r="S53" s="10" t="s">
        <v>941</v>
      </c>
      <c r="T53" s="58"/>
      <c r="U53" s="58"/>
      <c r="V53" s="58"/>
      <c r="W53" s="58"/>
      <c r="X53" s="58"/>
      <c r="Y53" s="58"/>
      <c r="Z53" s="58"/>
      <c r="AA53" s="58"/>
    </row>
    <row r="54">
      <c r="A54" s="9" t="s">
        <v>939</v>
      </c>
      <c r="B54" s="9" t="s">
        <v>940</v>
      </c>
      <c r="C54" s="10">
        <v>0.059</v>
      </c>
      <c r="D54" s="10" t="s">
        <v>982</v>
      </c>
      <c r="E54" s="10" t="s">
        <v>983</v>
      </c>
      <c r="F54" s="10">
        <v>-0.193</v>
      </c>
      <c r="G54" s="10">
        <v>0.004</v>
      </c>
      <c r="H54" s="10">
        <v>-0.259</v>
      </c>
      <c r="I54" s="10">
        <v>-0.204</v>
      </c>
      <c r="J54" s="10" t="s">
        <v>984</v>
      </c>
      <c r="K54" s="10" t="s">
        <v>985</v>
      </c>
      <c r="L54" s="10">
        <v>0.009</v>
      </c>
      <c r="M54" s="10">
        <v>-0.122</v>
      </c>
      <c r="N54" s="10">
        <v>0.122</v>
      </c>
      <c r="O54" s="10" t="s">
        <v>986</v>
      </c>
      <c r="P54" s="10" t="s">
        <v>987</v>
      </c>
      <c r="Q54" s="10">
        <v>-0.116</v>
      </c>
      <c r="R54" s="10">
        <v>-0.155</v>
      </c>
      <c r="S54" s="10">
        <v>-0.104</v>
      </c>
      <c r="T54" s="10" t="s">
        <v>941</v>
      </c>
      <c r="U54" s="58"/>
      <c r="V54" s="58"/>
      <c r="W54" s="58"/>
      <c r="X54" s="58"/>
      <c r="Y54" s="58"/>
      <c r="Z54" s="58"/>
      <c r="AA54" s="58"/>
    </row>
    <row r="55">
      <c r="B55" s="9" t="s">
        <v>45</v>
      </c>
      <c r="C55" s="10">
        <v>54.0</v>
      </c>
      <c r="D55" s="10">
        <v>54.0</v>
      </c>
      <c r="E55" s="10">
        <v>54.0</v>
      </c>
      <c r="F55" s="10">
        <v>54.0</v>
      </c>
      <c r="G55" s="10">
        <v>54.0</v>
      </c>
      <c r="H55" s="10">
        <v>54.0</v>
      </c>
      <c r="I55" s="10">
        <v>54.0</v>
      </c>
      <c r="J55" s="10">
        <v>54.0</v>
      </c>
      <c r="K55" s="10">
        <v>54.0</v>
      </c>
      <c r="L55" s="10">
        <v>54.0</v>
      </c>
      <c r="M55" s="10">
        <v>54.0</v>
      </c>
      <c r="N55" s="10">
        <v>54.0</v>
      </c>
      <c r="O55" s="10">
        <v>54.0</v>
      </c>
      <c r="P55" s="10">
        <v>54.0</v>
      </c>
      <c r="Q55" s="10">
        <v>54.0</v>
      </c>
      <c r="R55" s="10">
        <v>54.0</v>
      </c>
      <c r="S55" s="10">
        <v>54.0</v>
      </c>
      <c r="T55" s="10" t="s">
        <v>941</v>
      </c>
      <c r="U55" s="58"/>
      <c r="V55" s="58"/>
      <c r="W55" s="58"/>
      <c r="X55" s="58"/>
      <c r="Y55" s="58"/>
      <c r="Z55" s="58"/>
      <c r="AA55" s="58"/>
    </row>
    <row r="56">
      <c r="B56" s="9" t="s">
        <v>942</v>
      </c>
      <c r="C56" s="10">
        <v>0.666</v>
      </c>
      <c r="D56" s="10">
        <v>0.009</v>
      </c>
      <c r="E56" s="10" t="s">
        <v>65</v>
      </c>
      <c r="F56" s="10">
        <v>0.154</v>
      </c>
      <c r="G56" s="10">
        <v>0.975</v>
      </c>
      <c r="H56" s="10">
        <v>0.054</v>
      </c>
      <c r="I56" s="10">
        <v>0.131</v>
      </c>
      <c r="J56" s="10" t="s">
        <v>65</v>
      </c>
      <c r="K56" s="10">
        <v>0.009</v>
      </c>
      <c r="L56" s="10">
        <v>0.949</v>
      </c>
      <c r="M56" s="10">
        <v>0.371</v>
      </c>
      <c r="N56" s="10">
        <v>0.37</v>
      </c>
      <c r="O56" s="10">
        <v>0.029</v>
      </c>
      <c r="P56" s="10">
        <v>0.007</v>
      </c>
      <c r="Q56" s="10">
        <v>0.395</v>
      </c>
      <c r="R56" s="10">
        <v>0.255</v>
      </c>
      <c r="S56" s="10">
        <v>0.445</v>
      </c>
      <c r="T56" s="10" t="s">
        <v>941</v>
      </c>
      <c r="U56" s="58"/>
      <c r="V56" s="58"/>
      <c r="W56" s="58"/>
      <c r="X56" s="58"/>
      <c r="Y56" s="58"/>
      <c r="Z56" s="58"/>
      <c r="AA56" s="58"/>
    </row>
    <row r="57">
      <c r="A57" s="9" t="s">
        <v>928</v>
      </c>
      <c r="B57" s="9" t="s">
        <v>940</v>
      </c>
      <c r="C57" s="10">
        <v>-0.174</v>
      </c>
      <c r="D57" s="10">
        <v>-0.003</v>
      </c>
      <c r="E57" s="10" t="s">
        <v>994</v>
      </c>
      <c r="F57" s="10" t="s">
        <v>995</v>
      </c>
      <c r="G57" s="10">
        <v>-0.028</v>
      </c>
      <c r="H57" s="10">
        <v>0.087</v>
      </c>
      <c r="I57" s="10">
        <v>-0.125</v>
      </c>
      <c r="J57" s="10" t="s">
        <v>996</v>
      </c>
      <c r="K57" s="10" t="s">
        <v>997</v>
      </c>
      <c r="L57" s="10">
        <v>0.057</v>
      </c>
      <c r="M57" s="10">
        <v>0.018</v>
      </c>
      <c r="N57" s="10">
        <v>-0.211</v>
      </c>
      <c r="O57" s="10">
        <v>-0.197</v>
      </c>
      <c r="P57" s="10" t="s">
        <v>998</v>
      </c>
      <c r="Q57" s="10">
        <v>0.081</v>
      </c>
      <c r="R57" s="10">
        <v>-0.013</v>
      </c>
      <c r="S57" s="10" t="s">
        <v>999</v>
      </c>
      <c r="T57" s="10" t="s">
        <v>1000</v>
      </c>
      <c r="U57" s="10" t="s">
        <v>941</v>
      </c>
      <c r="V57" s="58"/>
      <c r="W57" s="58"/>
      <c r="X57" s="58"/>
      <c r="Y57" s="58"/>
      <c r="Z57" s="58"/>
      <c r="AA57" s="58"/>
    </row>
    <row r="58">
      <c r="B58" s="9" t="s">
        <v>45</v>
      </c>
      <c r="C58" s="10">
        <v>54.0</v>
      </c>
      <c r="D58" s="10">
        <v>54.0</v>
      </c>
      <c r="E58" s="10">
        <v>54.0</v>
      </c>
      <c r="F58" s="10">
        <v>54.0</v>
      </c>
      <c r="G58" s="10">
        <v>54.0</v>
      </c>
      <c r="H58" s="10">
        <v>54.0</v>
      </c>
      <c r="I58" s="10">
        <v>54.0</v>
      </c>
      <c r="J58" s="10">
        <v>54.0</v>
      </c>
      <c r="K58" s="10">
        <v>54.0</v>
      </c>
      <c r="L58" s="10">
        <v>54.0</v>
      </c>
      <c r="M58" s="10">
        <v>54.0</v>
      </c>
      <c r="N58" s="10">
        <v>54.0</v>
      </c>
      <c r="O58" s="10">
        <v>54.0</v>
      </c>
      <c r="P58" s="10">
        <v>54.0</v>
      </c>
      <c r="Q58" s="10">
        <v>54.0</v>
      </c>
      <c r="R58" s="10">
        <v>54.0</v>
      </c>
      <c r="S58" s="10">
        <v>54.0</v>
      </c>
      <c r="T58" s="10">
        <v>54.0</v>
      </c>
      <c r="U58" s="10" t="s">
        <v>941</v>
      </c>
      <c r="V58" s="58"/>
      <c r="W58" s="58"/>
      <c r="X58" s="58"/>
      <c r="Y58" s="58"/>
      <c r="Z58" s="58"/>
      <c r="AA58" s="58"/>
    </row>
    <row r="59">
      <c r="B59" s="9" t="s">
        <v>942</v>
      </c>
      <c r="C59" s="10">
        <v>0.2</v>
      </c>
      <c r="D59" s="10">
        <v>0.98</v>
      </c>
      <c r="E59" s="10">
        <v>0.003</v>
      </c>
      <c r="F59" s="10">
        <v>0.013</v>
      </c>
      <c r="G59" s="10">
        <v>0.837</v>
      </c>
      <c r="H59" s="10">
        <v>0.526</v>
      </c>
      <c r="I59" s="10">
        <v>0.359</v>
      </c>
      <c r="J59" s="10" t="s">
        <v>65</v>
      </c>
      <c r="K59" s="10">
        <v>0.025</v>
      </c>
      <c r="L59" s="10">
        <v>0.677</v>
      </c>
      <c r="M59" s="10">
        <v>0.897</v>
      </c>
      <c r="N59" s="10">
        <v>0.118</v>
      </c>
      <c r="O59" s="10">
        <v>0.146</v>
      </c>
      <c r="P59" s="10">
        <v>0.005</v>
      </c>
      <c r="Q59" s="10">
        <v>0.552</v>
      </c>
      <c r="R59" s="10">
        <v>0.922</v>
      </c>
      <c r="S59" s="10" t="s">
        <v>65</v>
      </c>
      <c r="T59" s="10" t="s">
        <v>65</v>
      </c>
      <c r="U59" s="10" t="s">
        <v>941</v>
      </c>
      <c r="V59" s="58"/>
      <c r="W59" s="58"/>
      <c r="X59" s="58"/>
      <c r="Y59" s="58"/>
      <c r="Z59" s="58"/>
      <c r="AA59" s="58"/>
    </row>
    <row r="60">
      <c r="A60" s="9" t="s">
        <v>929</v>
      </c>
      <c r="B60" s="9" t="s">
        <v>940</v>
      </c>
      <c r="C60" s="10">
        <v>-0.079</v>
      </c>
      <c r="D60" s="10">
        <v>0.053</v>
      </c>
      <c r="E60" s="10">
        <v>-0.006</v>
      </c>
      <c r="F60" s="10">
        <v>-0.005</v>
      </c>
      <c r="G60" s="10" t="s">
        <v>1001</v>
      </c>
      <c r="H60" s="10" t="s">
        <v>1002</v>
      </c>
      <c r="I60" s="10">
        <v>0.039</v>
      </c>
      <c r="J60" s="10">
        <v>0.097</v>
      </c>
      <c r="K60" s="10">
        <v>-0.084</v>
      </c>
      <c r="L60" s="10" t="s">
        <v>1003</v>
      </c>
      <c r="M60" s="10" t="s">
        <v>1004</v>
      </c>
      <c r="N60" s="10">
        <v>0.053</v>
      </c>
      <c r="O60" s="10">
        <v>-0.035</v>
      </c>
      <c r="P60" s="10">
        <v>0.027</v>
      </c>
      <c r="Q60" s="10" t="s">
        <v>1005</v>
      </c>
      <c r="R60" s="10" t="s">
        <v>1006</v>
      </c>
      <c r="S60" s="10">
        <v>0.139</v>
      </c>
      <c r="T60" s="10">
        <v>-0.075</v>
      </c>
      <c r="U60" s="10">
        <v>0.069</v>
      </c>
      <c r="V60" s="10" t="s">
        <v>941</v>
      </c>
      <c r="W60" s="58"/>
      <c r="X60" s="58"/>
      <c r="Y60" s="58"/>
      <c r="Z60" s="58"/>
      <c r="AA60" s="58"/>
    </row>
    <row r="61">
      <c r="B61" s="9" t="s">
        <v>45</v>
      </c>
      <c r="C61" s="10">
        <v>54.0</v>
      </c>
      <c r="D61" s="10">
        <v>54.0</v>
      </c>
      <c r="E61" s="10">
        <v>54.0</v>
      </c>
      <c r="F61" s="10">
        <v>54.0</v>
      </c>
      <c r="G61" s="10">
        <v>54.0</v>
      </c>
      <c r="H61" s="10">
        <v>54.0</v>
      </c>
      <c r="I61" s="10">
        <v>54.0</v>
      </c>
      <c r="J61" s="10">
        <v>54.0</v>
      </c>
      <c r="K61" s="10">
        <v>54.0</v>
      </c>
      <c r="L61" s="10">
        <v>54.0</v>
      </c>
      <c r="M61" s="10">
        <v>54.0</v>
      </c>
      <c r="N61" s="10">
        <v>54.0</v>
      </c>
      <c r="O61" s="10">
        <v>54.0</v>
      </c>
      <c r="P61" s="10">
        <v>54.0</v>
      </c>
      <c r="Q61" s="10">
        <v>54.0</v>
      </c>
      <c r="R61" s="10">
        <v>54.0</v>
      </c>
      <c r="S61" s="10">
        <v>54.0</v>
      </c>
      <c r="T61" s="10">
        <v>54.0</v>
      </c>
      <c r="U61" s="10">
        <v>54.0</v>
      </c>
      <c r="V61" s="10" t="s">
        <v>941</v>
      </c>
      <c r="W61" s="58"/>
      <c r="X61" s="58"/>
      <c r="Y61" s="58"/>
      <c r="Z61" s="58"/>
      <c r="AA61" s="58"/>
    </row>
    <row r="62">
      <c r="B62" s="9" t="s">
        <v>942</v>
      </c>
      <c r="C62" s="10">
        <v>0.564</v>
      </c>
      <c r="D62" s="10">
        <v>0.699</v>
      </c>
      <c r="E62" s="10">
        <v>0.966</v>
      </c>
      <c r="F62" s="10">
        <v>0.97</v>
      </c>
      <c r="G62" s="10" t="s">
        <v>65</v>
      </c>
      <c r="H62" s="10" t="s">
        <v>65</v>
      </c>
      <c r="I62" s="10">
        <v>0.774</v>
      </c>
      <c r="J62" s="10">
        <v>0.478</v>
      </c>
      <c r="K62" s="10">
        <v>0.536</v>
      </c>
      <c r="L62" s="10" t="s">
        <v>65</v>
      </c>
      <c r="M62" s="10">
        <v>0.009</v>
      </c>
      <c r="N62" s="10">
        <v>0.7</v>
      </c>
      <c r="O62" s="10">
        <v>0.799</v>
      </c>
      <c r="P62" s="10">
        <v>0.842</v>
      </c>
      <c r="Q62" s="10" t="s">
        <v>65</v>
      </c>
      <c r="R62" s="10" t="s">
        <v>65</v>
      </c>
      <c r="S62" s="10">
        <v>0.308</v>
      </c>
      <c r="T62" s="10">
        <v>0.584</v>
      </c>
      <c r="U62" s="10">
        <v>0.612</v>
      </c>
      <c r="V62" s="10" t="s">
        <v>941</v>
      </c>
      <c r="W62" s="58"/>
      <c r="X62" s="58"/>
      <c r="Y62" s="58"/>
      <c r="Z62" s="58"/>
      <c r="AA62" s="58"/>
    </row>
    <row r="63">
      <c r="A63" s="9" t="s">
        <v>930</v>
      </c>
      <c r="B63" s="9" t="s">
        <v>940</v>
      </c>
      <c r="C63" s="10">
        <v>-0.033</v>
      </c>
      <c r="D63" s="10">
        <v>0.153</v>
      </c>
      <c r="E63" s="10">
        <v>-0.079</v>
      </c>
      <c r="F63" s="10">
        <v>-0.014</v>
      </c>
      <c r="G63" s="10" t="s">
        <v>1007</v>
      </c>
      <c r="H63" s="10" t="s">
        <v>1008</v>
      </c>
      <c r="I63" s="10" t="s">
        <v>1009</v>
      </c>
      <c r="J63" s="10">
        <v>-0.129</v>
      </c>
      <c r="K63" s="10">
        <v>-0.03</v>
      </c>
      <c r="L63" s="10" t="s">
        <v>1010</v>
      </c>
      <c r="M63" s="10" t="s">
        <v>1011</v>
      </c>
      <c r="N63" s="10">
        <v>0.145</v>
      </c>
      <c r="O63" s="10">
        <v>-0.074</v>
      </c>
      <c r="P63" s="10">
        <v>-0.04</v>
      </c>
      <c r="Q63" s="10" t="s">
        <v>1012</v>
      </c>
      <c r="R63" s="10" t="s">
        <v>1013</v>
      </c>
      <c r="S63" s="10">
        <v>0.132</v>
      </c>
      <c r="T63" s="10">
        <v>-0.187</v>
      </c>
      <c r="U63" s="10">
        <v>0.13</v>
      </c>
      <c r="V63" s="10" t="s">
        <v>1014</v>
      </c>
      <c r="W63" s="10" t="s">
        <v>941</v>
      </c>
      <c r="X63" s="58"/>
      <c r="Y63" s="58"/>
      <c r="Z63" s="58"/>
      <c r="AA63" s="58"/>
    </row>
    <row r="64">
      <c r="B64" s="9" t="s">
        <v>45</v>
      </c>
      <c r="C64" s="10">
        <v>54.0</v>
      </c>
      <c r="D64" s="10">
        <v>54.0</v>
      </c>
      <c r="E64" s="10">
        <v>54.0</v>
      </c>
      <c r="F64" s="10">
        <v>54.0</v>
      </c>
      <c r="G64" s="10">
        <v>54.0</v>
      </c>
      <c r="H64" s="10">
        <v>54.0</v>
      </c>
      <c r="I64" s="10">
        <v>54.0</v>
      </c>
      <c r="J64" s="10">
        <v>54.0</v>
      </c>
      <c r="K64" s="10">
        <v>54.0</v>
      </c>
      <c r="L64" s="10">
        <v>54.0</v>
      </c>
      <c r="M64" s="10">
        <v>54.0</v>
      </c>
      <c r="N64" s="10">
        <v>54.0</v>
      </c>
      <c r="O64" s="10">
        <v>54.0</v>
      </c>
      <c r="P64" s="10">
        <v>54.0</v>
      </c>
      <c r="Q64" s="10">
        <v>54.0</v>
      </c>
      <c r="R64" s="10">
        <v>54.0</v>
      </c>
      <c r="S64" s="10">
        <v>54.0</v>
      </c>
      <c r="T64" s="10">
        <v>54.0</v>
      </c>
      <c r="U64" s="10">
        <v>54.0</v>
      </c>
      <c r="V64" s="10">
        <v>54.0</v>
      </c>
      <c r="W64" s="10" t="s">
        <v>941</v>
      </c>
      <c r="X64" s="58"/>
      <c r="Y64" s="58"/>
      <c r="Z64" s="58"/>
      <c r="AA64" s="58"/>
    </row>
    <row r="65">
      <c r="B65" s="9" t="s">
        <v>942</v>
      </c>
      <c r="C65" s="10">
        <v>0.807</v>
      </c>
      <c r="D65" s="10">
        <v>0.26</v>
      </c>
      <c r="E65" s="10">
        <v>0.563</v>
      </c>
      <c r="F65" s="10">
        <v>0.919</v>
      </c>
      <c r="G65" s="10">
        <v>0.011</v>
      </c>
      <c r="H65" s="10" t="s">
        <v>65</v>
      </c>
      <c r="I65" s="10">
        <v>0.041</v>
      </c>
      <c r="J65" s="10">
        <v>0.342</v>
      </c>
      <c r="K65" s="10">
        <v>0.828</v>
      </c>
      <c r="L65" s="10">
        <v>0.022</v>
      </c>
      <c r="M65" s="10" t="s">
        <v>65</v>
      </c>
      <c r="N65" s="10">
        <v>0.286</v>
      </c>
      <c r="O65" s="10">
        <v>0.589</v>
      </c>
      <c r="P65" s="10">
        <v>0.771</v>
      </c>
      <c r="Q65" s="10" t="s">
        <v>65</v>
      </c>
      <c r="R65" s="10" t="s">
        <v>65</v>
      </c>
      <c r="S65" s="10">
        <v>0.332</v>
      </c>
      <c r="T65" s="10">
        <v>0.167</v>
      </c>
      <c r="U65" s="10">
        <v>0.341</v>
      </c>
      <c r="V65" s="10" t="s">
        <v>65</v>
      </c>
      <c r="W65" s="10" t="s">
        <v>941</v>
      </c>
      <c r="X65" s="58"/>
      <c r="Y65" s="58"/>
      <c r="Z65" s="58"/>
      <c r="AA65" s="58"/>
    </row>
    <row r="66">
      <c r="A66" s="9" t="s">
        <v>909</v>
      </c>
      <c r="B66" s="9" t="s">
        <v>940</v>
      </c>
      <c r="C66" s="10">
        <v>-0.073</v>
      </c>
      <c r="D66" s="10" t="s">
        <v>1015</v>
      </c>
      <c r="E66" s="10" t="s">
        <v>1016</v>
      </c>
      <c r="F66" s="10" t="s">
        <v>1017</v>
      </c>
      <c r="G66" s="10">
        <v>-0.153</v>
      </c>
      <c r="H66" s="10">
        <v>-0.074</v>
      </c>
      <c r="I66" s="10">
        <v>-0.011</v>
      </c>
      <c r="J66" s="10">
        <v>-0.205</v>
      </c>
      <c r="K66" s="10" t="s">
        <v>1018</v>
      </c>
      <c r="L66" s="10">
        <v>-0.156</v>
      </c>
      <c r="M66" s="10">
        <v>0.006</v>
      </c>
      <c r="N66" s="10">
        <v>-0.142</v>
      </c>
      <c r="O66" s="10" t="s">
        <v>1019</v>
      </c>
      <c r="P66" s="10" t="s">
        <v>1020</v>
      </c>
      <c r="Q66" s="10">
        <v>-0.119</v>
      </c>
      <c r="R66" s="10">
        <v>0.094</v>
      </c>
      <c r="S66" s="10">
        <v>-0.11</v>
      </c>
      <c r="T66" s="10">
        <v>-0.173</v>
      </c>
      <c r="U66" s="10" t="s">
        <v>1021</v>
      </c>
      <c r="V66" s="10">
        <v>-0.069</v>
      </c>
      <c r="W66" s="10">
        <v>-0.063</v>
      </c>
      <c r="X66" s="10" t="s">
        <v>941</v>
      </c>
      <c r="Y66" s="58"/>
      <c r="Z66" s="58"/>
      <c r="AA66" s="58"/>
    </row>
    <row r="67">
      <c r="B67" s="9" t="s">
        <v>45</v>
      </c>
      <c r="C67" s="10">
        <v>54.0</v>
      </c>
      <c r="D67" s="10">
        <v>54.0</v>
      </c>
      <c r="E67" s="10">
        <v>54.0</v>
      </c>
      <c r="F67" s="10">
        <v>54.0</v>
      </c>
      <c r="G67" s="10">
        <v>54.0</v>
      </c>
      <c r="H67" s="10">
        <v>54.0</v>
      </c>
      <c r="I67" s="10">
        <v>54.0</v>
      </c>
      <c r="J67" s="10">
        <v>54.0</v>
      </c>
      <c r="K67" s="10">
        <v>54.0</v>
      </c>
      <c r="L67" s="10">
        <v>54.0</v>
      </c>
      <c r="M67" s="10">
        <v>54.0</v>
      </c>
      <c r="N67" s="10">
        <v>54.0</v>
      </c>
      <c r="O67" s="10">
        <v>54.0</v>
      </c>
      <c r="P67" s="10">
        <v>54.0</v>
      </c>
      <c r="Q67" s="10">
        <v>54.0</v>
      </c>
      <c r="R67" s="10">
        <v>54.0</v>
      </c>
      <c r="S67" s="10">
        <v>54.0</v>
      </c>
      <c r="T67" s="10">
        <v>54.0</v>
      </c>
      <c r="U67" s="10">
        <v>54.0</v>
      </c>
      <c r="V67" s="10">
        <v>54.0</v>
      </c>
      <c r="W67" s="10">
        <v>54.0</v>
      </c>
      <c r="X67" s="10" t="s">
        <v>941</v>
      </c>
      <c r="Y67" s="58"/>
      <c r="Z67" s="58"/>
      <c r="AA67" s="58"/>
    </row>
    <row r="68">
      <c r="B68" s="9" t="s">
        <v>942</v>
      </c>
      <c r="C68" s="10">
        <v>0.592</v>
      </c>
      <c r="D68" s="10">
        <v>0.005</v>
      </c>
      <c r="E68" s="10" t="s">
        <v>65</v>
      </c>
      <c r="F68" s="10" t="s">
        <v>65</v>
      </c>
      <c r="G68" s="10">
        <v>0.262</v>
      </c>
      <c r="H68" s="10">
        <v>0.588</v>
      </c>
      <c r="I68" s="10">
        <v>0.936</v>
      </c>
      <c r="J68" s="10">
        <v>0.13</v>
      </c>
      <c r="K68" s="10">
        <v>0.038</v>
      </c>
      <c r="L68" s="10">
        <v>0.25</v>
      </c>
      <c r="M68" s="10">
        <v>0.964</v>
      </c>
      <c r="N68" s="10">
        <v>0.297</v>
      </c>
      <c r="O68" s="10">
        <v>0.018</v>
      </c>
      <c r="P68" s="10">
        <v>0.008</v>
      </c>
      <c r="Q68" s="10">
        <v>0.383</v>
      </c>
      <c r="R68" s="10">
        <v>0.49</v>
      </c>
      <c r="S68" s="10">
        <v>0.418</v>
      </c>
      <c r="T68" s="10">
        <v>0.202</v>
      </c>
      <c r="U68" s="10">
        <v>0.002</v>
      </c>
      <c r="V68" s="10">
        <v>0.614</v>
      </c>
      <c r="W68" s="10">
        <v>0.644</v>
      </c>
      <c r="X68" s="10" t="s">
        <v>941</v>
      </c>
      <c r="Y68" s="58"/>
      <c r="Z68" s="58"/>
      <c r="AA68" s="58"/>
    </row>
    <row r="69">
      <c r="A69" s="9" t="s">
        <v>915</v>
      </c>
      <c r="B69" s="9" t="s">
        <v>940</v>
      </c>
      <c r="C69" s="10">
        <v>0.032</v>
      </c>
      <c r="D69" s="10">
        <v>0.116</v>
      </c>
      <c r="E69" s="10">
        <v>-0.258</v>
      </c>
      <c r="F69" s="10">
        <v>0.209</v>
      </c>
      <c r="G69" s="10">
        <v>-0.086</v>
      </c>
      <c r="H69" s="10">
        <v>-0.128</v>
      </c>
      <c r="I69" s="10" t="s">
        <v>1022</v>
      </c>
      <c r="J69" s="10" t="s">
        <v>1023</v>
      </c>
      <c r="K69" s="10" t="s">
        <v>1024</v>
      </c>
      <c r="L69" s="10">
        <v>-0.016</v>
      </c>
      <c r="M69" s="10">
        <v>-0.199</v>
      </c>
      <c r="N69" s="10">
        <v>-0.093</v>
      </c>
      <c r="O69" s="10">
        <v>-0.115</v>
      </c>
      <c r="P69" s="10">
        <v>0.251</v>
      </c>
      <c r="Q69" s="10">
        <v>0.142</v>
      </c>
      <c r="R69" s="10">
        <v>0.097</v>
      </c>
      <c r="S69" s="10">
        <v>-0.047</v>
      </c>
      <c r="T69" s="10">
        <v>-0.237</v>
      </c>
      <c r="U69" s="10" t="s">
        <v>1025</v>
      </c>
      <c r="V69" s="10">
        <v>-0.074</v>
      </c>
      <c r="W69" s="10">
        <v>-0.163</v>
      </c>
      <c r="X69" s="10" t="s">
        <v>1009</v>
      </c>
      <c r="Y69" s="10" t="s">
        <v>941</v>
      </c>
      <c r="Z69" s="58"/>
      <c r="AA69" s="58"/>
    </row>
    <row r="70">
      <c r="B70" s="9" t="s">
        <v>45</v>
      </c>
      <c r="C70" s="10">
        <v>54.0</v>
      </c>
      <c r="D70" s="10">
        <v>54.0</v>
      </c>
      <c r="E70" s="10">
        <v>54.0</v>
      </c>
      <c r="F70" s="10">
        <v>54.0</v>
      </c>
      <c r="G70" s="10">
        <v>54.0</v>
      </c>
      <c r="H70" s="10">
        <v>54.0</v>
      </c>
      <c r="I70" s="10">
        <v>54.0</v>
      </c>
      <c r="J70" s="10">
        <v>54.0</v>
      </c>
      <c r="K70" s="10">
        <v>54.0</v>
      </c>
      <c r="L70" s="10">
        <v>54.0</v>
      </c>
      <c r="M70" s="10">
        <v>54.0</v>
      </c>
      <c r="N70" s="10">
        <v>54.0</v>
      </c>
      <c r="O70" s="10">
        <v>54.0</v>
      </c>
      <c r="P70" s="10">
        <v>54.0</v>
      </c>
      <c r="Q70" s="10">
        <v>54.0</v>
      </c>
      <c r="R70" s="10">
        <v>54.0</v>
      </c>
      <c r="S70" s="10">
        <v>54.0</v>
      </c>
      <c r="T70" s="10">
        <v>54.0</v>
      </c>
      <c r="U70" s="10">
        <v>54.0</v>
      </c>
      <c r="V70" s="10">
        <v>54.0</v>
      </c>
      <c r="W70" s="10">
        <v>54.0</v>
      </c>
      <c r="X70" s="10">
        <v>54.0</v>
      </c>
      <c r="Y70" s="10" t="s">
        <v>941</v>
      </c>
      <c r="Z70" s="58"/>
      <c r="AA70" s="58"/>
    </row>
    <row r="71">
      <c r="B71" s="9" t="s">
        <v>942</v>
      </c>
      <c r="C71" s="10">
        <v>0.815</v>
      </c>
      <c r="D71" s="10">
        <v>0.393</v>
      </c>
      <c r="E71" s="10">
        <v>0.055</v>
      </c>
      <c r="F71" s="10">
        <v>0.121</v>
      </c>
      <c r="G71" s="10">
        <v>0.527</v>
      </c>
      <c r="H71" s="10">
        <v>0.346</v>
      </c>
      <c r="I71" s="10">
        <v>0.02</v>
      </c>
      <c r="J71" s="10" t="s">
        <v>65</v>
      </c>
      <c r="K71" s="10" t="s">
        <v>65</v>
      </c>
      <c r="L71" s="10">
        <v>0.908</v>
      </c>
      <c r="M71" s="10">
        <v>0.142</v>
      </c>
      <c r="N71" s="10">
        <v>0.493</v>
      </c>
      <c r="O71" s="10">
        <v>0.397</v>
      </c>
      <c r="P71" s="10">
        <v>0.062</v>
      </c>
      <c r="Q71" s="10">
        <v>0.298</v>
      </c>
      <c r="R71" s="10">
        <v>0.477</v>
      </c>
      <c r="S71" s="10">
        <v>0.734</v>
      </c>
      <c r="T71" s="10">
        <v>0.078</v>
      </c>
      <c r="U71" s="10">
        <v>0.042</v>
      </c>
      <c r="V71" s="10">
        <v>0.587</v>
      </c>
      <c r="W71" s="10">
        <v>0.23</v>
      </c>
      <c r="X71" s="10">
        <v>0.041</v>
      </c>
      <c r="Y71" s="10" t="s">
        <v>941</v>
      </c>
      <c r="Z71" s="58"/>
      <c r="AA71" s="58"/>
    </row>
    <row r="72">
      <c r="A72" s="9" t="s">
        <v>921</v>
      </c>
      <c r="B72" s="9" t="s">
        <v>940</v>
      </c>
      <c r="C72" s="10">
        <v>-0.027</v>
      </c>
      <c r="D72" s="10">
        <v>-0.162</v>
      </c>
      <c r="E72" s="10">
        <v>-0.175</v>
      </c>
      <c r="F72" s="10" t="s">
        <v>1025</v>
      </c>
      <c r="G72" s="10">
        <v>0.048</v>
      </c>
      <c r="H72" s="10">
        <v>0.185</v>
      </c>
      <c r="I72" s="10">
        <v>-0.063</v>
      </c>
      <c r="J72" s="10">
        <v>-0.065</v>
      </c>
      <c r="K72" s="10">
        <v>0.109</v>
      </c>
      <c r="L72" s="10">
        <v>0.128</v>
      </c>
      <c r="M72" s="10">
        <v>0.096</v>
      </c>
      <c r="N72" s="10" t="s">
        <v>1026</v>
      </c>
      <c r="O72" s="10" t="s">
        <v>1027</v>
      </c>
      <c r="P72" s="10" t="s">
        <v>1028</v>
      </c>
      <c r="Q72" s="10">
        <v>0.1</v>
      </c>
      <c r="R72" s="10">
        <v>0.253</v>
      </c>
      <c r="S72" s="10">
        <v>-0.151</v>
      </c>
      <c r="T72" s="10" t="s">
        <v>1029</v>
      </c>
      <c r="U72" s="10" t="s">
        <v>1030</v>
      </c>
      <c r="V72" s="10">
        <v>-0.005</v>
      </c>
      <c r="W72" s="10">
        <v>0.016</v>
      </c>
      <c r="X72" s="10" t="s">
        <v>1031</v>
      </c>
      <c r="Y72" s="10">
        <v>0.139</v>
      </c>
      <c r="Z72" s="10" t="s">
        <v>941</v>
      </c>
      <c r="AA72" s="58"/>
    </row>
    <row r="73">
      <c r="B73" s="9" t="s">
        <v>45</v>
      </c>
      <c r="C73" s="10">
        <v>54.0</v>
      </c>
      <c r="D73" s="10">
        <v>54.0</v>
      </c>
      <c r="E73" s="10">
        <v>54.0</v>
      </c>
      <c r="F73" s="10">
        <v>54.0</v>
      </c>
      <c r="G73" s="10">
        <v>54.0</v>
      </c>
      <c r="H73" s="10">
        <v>54.0</v>
      </c>
      <c r="I73" s="10">
        <v>54.0</v>
      </c>
      <c r="J73" s="10">
        <v>54.0</v>
      </c>
      <c r="K73" s="10">
        <v>54.0</v>
      </c>
      <c r="L73" s="10">
        <v>54.0</v>
      </c>
      <c r="M73" s="10">
        <v>54.0</v>
      </c>
      <c r="N73" s="10">
        <v>54.0</v>
      </c>
      <c r="O73" s="10">
        <v>54.0</v>
      </c>
      <c r="P73" s="10">
        <v>54.0</v>
      </c>
      <c r="Q73" s="10">
        <v>54.0</v>
      </c>
      <c r="R73" s="10">
        <v>54.0</v>
      </c>
      <c r="S73" s="10">
        <v>54.0</v>
      </c>
      <c r="T73" s="10">
        <v>54.0</v>
      </c>
      <c r="U73" s="10">
        <v>54.0</v>
      </c>
      <c r="V73" s="10">
        <v>54.0</v>
      </c>
      <c r="W73" s="10">
        <v>54.0</v>
      </c>
      <c r="X73" s="10">
        <v>54.0</v>
      </c>
      <c r="Y73" s="10">
        <v>54.0</v>
      </c>
      <c r="Z73" s="10" t="s">
        <v>941</v>
      </c>
      <c r="AA73" s="58"/>
    </row>
    <row r="74">
      <c r="B74" s="9" t="s">
        <v>942</v>
      </c>
      <c r="C74" s="10">
        <v>0.846</v>
      </c>
      <c r="D74" s="10">
        <v>0.234</v>
      </c>
      <c r="E74" s="10">
        <v>0.197</v>
      </c>
      <c r="F74" s="10">
        <v>0.041</v>
      </c>
      <c r="G74" s="10">
        <v>0.723</v>
      </c>
      <c r="H74" s="10">
        <v>0.173</v>
      </c>
      <c r="I74" s="10">
        <v>0.646</v>
      </c>
      <c r="J74" s="10">
        <v>0.632</v>
      </c>
      <c r="K74" s="10">
        <v>0.425</v>
      </c>
      <c r="L74" s="10">
        <v>0.348</v>
      </c>
      <c r="M74" s="10">
        <v>0.482</v>
      </c>
      <c r="N74" s="10" t="s">
        <v>65</v>
      </c>
      <c r="O74" s="10" t="s">
        <v>65</v>
      </c>
      <c r="P74" s="10" t="s">
        <v>65</v>
      </c>
      <c r="Q74" s="10">
        <v>0.463</v>
      </c>
      <c r="R74" s="10">
        <v>0.06</v>
      </c>
      <c r="S74" s="10">
        <v>0.268</v>
      </c>
      <c r="T74" s="10">
        <v>0.046</v>
      </c>
      <c r="U74" s="10">
        <v>0.008</v>
      </c>
      <c r="V74" s="10">
        <v>0.974</v>
      </c>
      <c r="W74" s="10">
        <v>0.906</v>
      </c>
      <c r="X74" s="10">
        <v>0.015</v>
      </c>
      <c r="Y74" s="10">
        <v>0.306</v>
      </c>
      <c r="Z74" s="10" t="s">
        <v>941</v>
      </c>
      <c r="AA74" s="58"/>
    </row>
    <row r="75">
      <c r="A75" s="9" t="s">
        <v>927</v>
      </c>
      <c r="B75" s="9" t="s">
        <v>940</v>
      </c>
      <c r="C75" s="10">
        <v>-0.141</v>
      </c>
      <c r="D75" s="10">
        <v>-0.147</v>
      </c>
      <c r="E75" s="10" t="s">
        <v>1032</v>
      </c>
      <c r="F75" s="10" t="s">
        <v>1033</v>
      </c>
      <c r="G75" s="10">
        <v>-0.018</v>
      </c>
      <c r="H75" s="10">
        <v>-0.041</v>
      </c>
      <c r="I75" s="10">
        <v>-0.036</v>
      </c>
      <c r="J75" s="10" t="s">
        <v>1034</v>
      </c>
      <c r="K75" s="10" t="s">
        <v>1035</v>
      </c>
      <c r="L75" s="10">
        <v>0.063</v>
      </c>
      <c r="M75" s="10">
        <v>-0.179</v>
      </c>
      <c r="N75" s="10">
        <v>-0.16</v>
      </c>
      <c r="O75" s="10">
        <v>-0.018</v>
      </c>
      <c r="P75" s="10">
        <v>0.211</v>
      </c>
      <c r="Q75" s="10">
        <v>0.023</v>
      </c>
      <c r="R75" s="10">
        <v>-0.097</v>
      </c>
      <c r="S75" s="10" t="s">
        <v>1036</v>
      </c>
      <c r="T75" s="10" t="s">
        <v>1000</v>
      </c>
      <c r="U75" s="10" t="s">
        <v>1011</v>
      </c>
      <c r="V75" s="10">
        <v>0.065</v>
      </c>
      <c r="W75" s="10">
        <v>0.045</v>
      </c>
      <c r="X75" s="10" t="s">
        <v>1037</v>
      </c>
      <c r="Y75" s="10">
        <v>0.208</v>
      </c>
      <c r="Z75" s="10">
        <v>0.239</v>
      </c>
      <c r="AA75" s="10" t="s">
        <v>941</v>
      </c>
    </row>
    <row r="76">
      <c r="B76" s="9" t="s">
        <v>45</v>
      </c>
      <c r="C76" s="10">
        <v>54.0</v>
      </c>
      <c r="D76" s="10">
        <v>54.0</v>
      </c>
      <c r="E76" s="10">
        <v>54.0</v>
      </c>
      <c r="F76" s="10">
        <v>54.0</v>
      </c>
      <c r="G76" s="10">
        <v>54.0</v>
      </c>
      <c r="H76" s="10">
        <v>54.0</v>
      </c>
      <c r="I76" s="10">
        <v>54.0</v>
      </c>
      <c r="J76" s="10">
        <v>54.0</v>
      </c>
      <c r="K76" s="10">
        <v>54.0</v>
      </c>
      <c r="L76" s="10">
        <v>54.0</v>
      </c>
      <c r="M76" s="10">
        <v>54.0</v>
      </c>
      <c r="N76" s="10">
        <v>54.0</v>
      </c>
      <c r="O76" s="10">
        <v>54.0</v>
      </c>
      <c r="P76" s="10">
        <v>54.0</v>
      </c>
      <c r="Q76" s="10">
        <v>54.0</v>
      </c>
      <c r="R76" s="10">
        <v>54.0</v>
      </c>
      <c r="S76" s="10">
        <v>54.0</v>
      </c>
      <c r="T76" s="10">
        <v>54.0</v>
      </c>
      <c r="U76" s="10">
        <v>54.0</v>
      </c>
      <c r="V76" s="10">
        <v>54.0</v>
      </c>
      <c r="W76" s="10">
        <v>54.0</v>
      </c>
      <c r="X76" s="10">
        <v>54.0</v>
      </c>
      <c r="Y76" s="10">
        <v>54.0</v>
      </c>
      <c r="Z76" s="10">
        <v>54.0</v>
      </c>
      <c r="AA76" s="10" t="s">
        <v>941</v>
      </c>
    </row>
    <row r="77">
      <c r="A77" s="64"/>
      <c r="B77" s="18" t="s">
        <v>942</v>
      </c>
      <c r="C77" s="19">
        <v>0.3</v>
      </c>
      <c r="D77" s="19">
        <v>0.279</v>
      </c>
      <c r="E77" s="19">
        <v>0.004</v>
      </c>
      <c r="F77" s="19">
        <v>0.05</v>
      </c>
      <c r="G77" s="19">
        <v>0.898</v>
      </c>
      <c r="H77" s="19">
        <v>0.762</v>
      </c>
      <c r="I77" s="19">
        <v>0.792</v>
      </c>
      <c r="J77" s="19">
        <v>0.009</v>
      </c>
      <c r="K77" s="19">
        <v>0.031</v>
      </c>
      <c r="L77" s="19">
        <v>0.644</v>
      </c>
      <c r="M77" s="19">
        <v>0.188</v>
      </c>
      <c r="N77" s="19">
        <v>0.238</v>
      </c>
      <c r="O77" s="19">
        <v>0.895</v>
      </c>
      <c r="P77" s="19">
        <v>0.118</v>
      </c>
      <c r="Q77" s="19">
        <v>0.864</v>
      </c>
      <c r="R77" s="19">
        <v>0.475</v>
      </c>
      <c r="S77" s="19">
        <v>0.001</v>
      </c>
      <c r="T77" s="19" t="s">
        <v>65</v>
      </c>
      <c r="U77" s="19" t="s">
        <v>65</v>
      </c>
      <c r="V77" s="19">
        <v>0.632</v>
      </c>
      <c r="W77" s="19">
        <v>0.742</v>
      </c>
      <c r="X77" s="19">
        <v>0.002</v>
      </c>
      <c r="Y77" s="19">
        <v>0.123</v>
      </c>
      <c r="Z77" s="19">
        <v>0.076</v>
      </c>
      <c r="AA77" s="19" t="s">
        <v>941</v>
      </c>
    </row>
  </sheetData>
  <mergeCells count="26">
    <mergeCell ref="A1:AA1"/>
    <mergeCell ref="A3:A5"/>
    <mergeCell ref="A6:A8"/>
    <mergeCell ref="A9:A11"/>
    <mergeCell ref="A12:A14"/>
    <mergeCell ref="A15:A17"/>
    <mergeCell ref="A18:A20"/>
    <mergeCell ref="A21:A23"/>
    <mergeCell ref="A24:A26"/>
    <mergeCell ref="A27:A29"/>
    <mergeCell ref="A30:A32"/>
    <mergeCell ref="A33:A35"/>
    <mergeCell ref="A36:A38"/>
    <mergeCell ref="A39:A41"/>
    <mergeCell ref="A63:A65"/>
    <mergeCell ref="A66:A68"/>
    <mergeCell ref="A69:A71"/>
    <mergeCell ref="A72:A74"/>
    <mergeCell ref="A75:A77"/>
    <mergeCell ref="A42:A44"/>
    <mergeCell ref="A45:A47"/>
    <mergeCell ref="A48:A50"/>
    <mergeCell ref="A51:A53"/>
    <mergeCell ref="A54:A56"/>
    <mergeCell ref="A57:A59"/>
    <mergeCell ref="A60:A6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937</v>
      </c>
      <c r="B1" s="5"/>
      <c r="C1" s="5"/>
      <c r="D1" s="5"/>
      <c r="E1" s="5"/>
      <c r="F1" s="5"/>
      <c r="G1" s="5"/>
      <c r="H1" s="5"/>
      <c r="I1" s="5"/>
      <c r="J1" s="5"/>
      <c r="K1" s="5"/>
      <c r="L1" s="5"/>
      <c r="M1" s="5"/>
      <c r="N1" s="5"/>
      <c r="O1" s="5"/>
      <c r="P1" s="5"/>
      <c r="Q1" s="5"/>
      <c r="R1" s="5"/>
      <c r="S1" s="5"/>
      <c r="T1" s="5"/>
      <c r="U1" s="5"/>
      <c r="V1" s="5"/>
      <c r="W1" s="5"/>
      <c r="X1" s="5"/>
      <c r="Y1" s="5"/>
      <c r="Z1" s="5"/>
      <c r="AA1" s="5"/>
    </row>
    <row r="2">
      <c r="A2" s="7"/>
      <c r="B2" s="7"/>
      <c r="C2" s="8" t="s">
        <v>906</v>
      </c>
      <c r="D2" s="8" t="s">
        <v>907</v>
      </c>
      <c r="E2" s="8" t="s">
        <v>908</v>
      </c>
      <c r="F2" s="8" t="s">
        <v>910</v>
      </c>
      <c r="G2" s="8" t="s">
        <v>911</v>
      </c>
      <c r="H2" s="8" t="s">
        <v>912</v>
      </c>
      <c r="I2" s="8" t="s">
        <v>913</v>
      </c>
      <c r="J2" s="8" t="s">
        <v>914</v>
      </c>
      <c r="K2" s="8" t="s">
        <v>916</v>
      </c>
      <c r="L2" s="8" t="s">
        <v>917</v>
      </c>
      <c r="M2" s="8" t="s">
        <v>918</v>
      </c>
      <c r="N2" s="8" t="s">
        <v>919</v>
      </c>
      <c r="O2" s="8" t="s">
        <v>920</v>
      </c>
      <c r="P2" s="8" t="s">
        <v>922</v>
      </c>
      <c r="Q2" s="8" t="s">
        <v>923</v>
      </c>
      <c r="R2" s="8" t="s">
        <v>924</v>
      </c>
      <c r="S2" s="8" t="s">
        <v>938</v>
      </c>
      <c r="T2" s="8" t="s">
        <v>939</v>
      </c>
      <c r="U2" s="8" t="s">
        <v>928</v>
      </c>
      <c r="V2" s="8" t="s">
        <v>929</v>
      </c>
      <c r="W2" s="8" t="s">
        <v>930</v>
      </c>
      <c r="X2" s="8" t="s">
        <v>909</v>
      </c>
      <c r="Y2" s="8" t="s">
        <v>915</v>
      </c>
      <c r="Z2" s="8" t="s">
        <v>921</v>
      </c>
      <c r="AA2" s="8" t="s">
        <v>927</v>
      </c>
    </row>
    <row r="3">
      <c r="A3" s="9" t="s">
        <v>906</v>
      </c>
      <c r="B3" s="9" t="s">
        <v>940</v>
      </c>
      <c r="C3" s="10" t="s">
        <v>941</v>
      </c>
      <c r="D3" s="58"/>
      <c r="E3" s="58"/>
      <c r="F3" s="58"/>
      <c r="G3" s="58"/>
      <c r="H3" s="58"/>
      <c r="I3" s="58"/>
      <c r="J3" s="58"/>
      <c r="K3" s="58"/>
      <c r="L3" s="58"/>
      <c r="M3" s="58"/>
      <c r="N3" s="58"/>
      <c r="O3" s="58"/>
      <c r="P3" s="58"/>
      <c r="Q3" s="58"/>
      <c r="R3" s="58"/>
      <c r="S3" s="58"/>
      <c r="T3" s="58"/>
      <c r="U3" s="58"/>
      <c r="V3" s="58"/>
      <c r="W3" s="58"/>
      <c r="X3" s="58"/>
      <c r="Y3" s="58"/>
      <c r="Z3" s="58"/>
      <c r="AA3" s="58"/>
    </row>
    <row r="4">
      <c r="B4" s="9" t="s">
        <v>45</v>
      </c>
      <c r="C4" s="10" t="s">
        <v>941</v>
      </c>
      <c r="D4" s="58"/>
      <c r="E4" s="58"/>
      <c r="F4" s="58"/>
      <c r="G4" s="58"/>
      <c r="H4" s="58"/>
      <c r="I4" s="58"/>
      <c r="J4" s="58"/>
      <c r="K4" s="58"/>
      <c r="L4" s="58"/>
      <c r="M4" s="58"/>
      <c r="N4" s="58"/>
      <c r="O4" s="58"/>
      <c r="P4" s="58"/>
      <c r="Q4" s="58"/>
      <c r="R4" s="58"/>
      <c r="S4" s="58"/>
      <c r="T4" s="58"/>
      <c r="U4" s="58"/>
      <c r="V4" s="58"/>
      <c r="W4" s="58"/>
      <c r="X4" s="58"/>
      <c r="Y4" s="58"/>
      <c r="Z4" s="58"/>
      <c r="AA4" s="58"/>
    </row>
    <row r="5">
      <c r="B5" s="9" t="s">
        <v>942</v>
      </c>
      <c r="C5" s="10" t="s">
        <v>941</v>
      </c>
      <c r="D5" s="58"/>
      <c r="E5" s="58"/>
      <c r="F5" s="58"/>
      <c r="G5" s="58"/>
      <c r="H5" s="58"/>
      <c r="I5" s="58"/>
      <c r="J5" s="58"/>
      <c r="K5" s="58"/>
      <c r="L5" s="58"/>
      <c r="M5" s="58"/>
      <c r="N5" s="58"/>
      <c r="O5" s="58"/>
      <c r="P5" s="58"/>
      <c r="Q5" s="58"/>
      <c r="R5" s="58"/>
      <c r="S5" s="58"/>
      <c r="T5" s="58"/>
      <c r="U5" s="58"/>
      <c r="V5" s="58"/>
      <c r="W5" s="58"/>
      <c r="X5" s="58"/>
      <c r="Y5" s="58"/>
      <c r="Z5" s="58"/>
      <c r="AA5" s="58"/>
    </row>
    <row r="6">
      <c r="A6" s="9" t="s">
        <v>943</v>
      </c>
      <c r="B6" s="9" t="s">
        <v>940</v>
      </c>
      <c r="C6" s="10">
        <v>-0.074</v>
      </c>
      <c r="D6" s="10" t="s">
        <v>941</v>
      </c>
      <c r="E6" s="58"/>
      <c r="F6" s="58"/>
      <c r="G6" s="58"/>
      <c r="H6" s="58"/>
      <c r="I6" s="58"/>
      <c r="J6" s="58"/>
      <c r="K6" s="58"/>
      <c r="L6" s="58"/>
      <c r="M6" s="58"/>
      <c r="N6" s="58"/>
      <c r="O6" s="58"/>
      <c r="P6" s="58"/>
      <c r="Q6" s="58"/>
      <c r="R6" s="58"/>
      <c r="S6" s="58"/>
      <c r="T6" s="58"/>
      <c r="U6" s="58"/>
      <c r="V6" s="58"/>
      <c r="W6" s="58"/>
      <c r="X6" s="58"/>
      <c r="Y6" s="58"/>
      <c r="Z6" s="58"/>
      <c r="AA6" s="58"/>
    </row>
    <row r="7">
      <c r="B7" s="9" t="s">
        <v>45</v>
      </c>
      <c r="C7" s="10">
        <v>54.0</v>
      </c>
      <c r="D7" s="10" t="s">
        <v>941</v>
      </c>
      <c r="E7" s="58"/>
      <c r="F7" s="58"/>
      <c r="G7" s="58"/>
      <c r="H7" s="58"/>
      <c r="I7" s="58"/>
      <c r="J7" s="58"/>
      <c r="K7" s="58"/>
      <c r="L7" s="58"/>
      <c r="M7" s="58"/>
      <c r="N7" s="58"/>
      <c r="O7" s="58"/>
      <c r="P7" s="58"/>
      <c r="Q7" s="58"/>
      <c r="R7" s="58"/>
      <c r="S7" s="58"/>
      <c r="T7" s="58"/>
      <c r="U7" s="58"/>
      <c r="V7" s="58"/>
      <c r="W7" s="58"/>
      <c r="X7" s="58"/>
      <c r="Y7" s="58"/>
      <c r="Z7" s="58"/>
      <c r="AA7" s="58"/>
    </row>
    <row r="8">
      <c r="B8" s="9" t="s">
        <v>942</v>
      </c>
      <c r="C8" s="10">
        <v>0.586</v>
      </c>
      <c r="D8" s="10" t="s">
        <v>941</v>
      </c>
      <c r="E8" s="58"/>
      <c r="F8" s="58"/>
      <c r="G8" s="58"/>
      <c r="H8" s="58"/>
      <c r="I8" s="58"/>
      <c r="J8" s="58"/>
      <c r="K8" s="58"/>
      <c r="L8" s="58"/>
      <c r="M8" s="58"/>
      <c r="N8" s="58"/>
      <c r="O8" s="58"/>
      <c r="P8" s="58"/>
      <c r="Q8" s="58"/>
      <c r="R8" s="58"/>
      <c r="S8" s="58"/>
      <c r="T8" s="58"/>
      <c r="U8" s="58"/>
      <c r="V8" s="58"/>
      <c r="W8" s="58"/>
      <c r="X8" s="58"/>
      <c r="Y8" s="58"/>
      <c r="Z8" s="58"/>
      <c r="AA8" s="58"/>
    </row>
    <row r="9">
      <c r="A9" s="9" t="s">
        <v>944</v>
      </c>
      <c r="B9" s="9" t="s">
        <v>940</v>
      </c>
      <c r="C9" s="10">
        <v>0.193</v>
      </c>
      <c r="D9" s="10">
        <v>-0.226</v>
      </c>
      <c r="E9" s="10" t="s">
        <v>941</v>
      </c>
      <c r="F9" s="58"/>
      <c r="G9" s="58"/>
      <c r="H9" s="58"/>
      <c r="I9" s="58"/>
      <c r="J9" s="58"/>
      <c r="K9" s="58"/>
      <c r="L9" s="58"/>
      <c r="M9" s="58"/>
      <c r="N9" s="58"/>
      <c r="O9" s="58"/>
      <c r="P9" s="58"/>
      <c r="Q9" s="58"/>
      <c r="R9" s="58"/>
      <c r="S9" s="58"/>
      <c r="T9" s="58"/>
      <c r="U9" s="58"/>
      <c r="V9" s="58"/>
      <c r="W9" s="58"/>
      <c r="X9" s="58"/>
      <c r="Y9" s="58"/>
      <c r="Z9" s="58"/>
      <c r="AA9" s="58"/>
    </row>
    <row r="10">
      <c r="B10" s="9" t="s">
        <v>45</v>
      </c>
      <c r="C10" s="10">
        <v>54.0</v>
      </c>
      <c r="D10" s="10">
        <v>54.0</v>
      </c>
      <c r="E10" s="10" t="s">
        <v>941</v>
      </c>
      <c r="F10" s="58"/>
      <c r="G10" s="58"/>
      <c r="H10" s="58"/>
      <c r="I10" s="58"/>
      <c r="J10" s="58"/>
      <c r="K10" s="58"/>
      <c r="L10" s="58"/>
      <c r="M10" s="58"/>
      <c r="N10" s="58"/>
      <c r="O10" s="58"/>
      <c r="P10" s="58"/>
      <c r="Q10" s="58"/>
      <c r="R10" s="58"/>
      <c r="S10" s="58"/>
      <c r="T10" s="58"/>
      <c r="U10" s="58"/>
      <c r="V10" s="58"/>
      <c r="W10" s="58"/>
      <c r="X10" s="58"/>
      <c r="Y10" s="58"/>
      <c r="Z10" s="58"/>
      <c r="AA10" s="58"/>
    </row>
    <row r="11">
      <c r="B11" s="9" t="s">
        <v>942</v>
      </c>
      <c r="C11" s="10">
        <v>0.154</v>
      </c>
      <c r="D11" s="10">
        <v>0.095</v>
      </c>
      <c r="E11" s="10" t="s">
        <v>941</v>
      </c>
      <c r="F11" s="58"/>
      <c r="G11" s="58"/>
      <c r="H11" s="58"/>
      <c r="I11" s="58"/>
      <c r="J11" s="58"/>
      <c r="K11" s="58"/>
      <c r="L11" s="58"/>
      <c r="M11" s="58"/>
      <c r="N11" s="58"/>
      <c r="O11" s="58"/>
      <c r="P11" s="58"/>
      <c r="Q11" s="58"/>
      <c r="R11" s="58"/>
      <c r="S11" s="58"/>
      <c r="T11" s="58"/>
      <c r="U11" s="58"/>
      <c r="V11" s="58"/>
      <c r="W11" s="58"/>
      <c r="X11" s="58"/>
      <c r="Y11" s="58"/>
      <c r="Z11" s="58"/>
      <c r="AA11" s="58"/>
    </row>
    <row r="12">
      <c r="A12" s="9" t="s">
        <v>910</v>
      </c>
      <c r="B12" s="9" t="s">
        <v>940</v>
      </c>
      <c r="C12" s="10">
        <v>-0.216</v>
      </c>
      <c r="D12" s="10">
        <v>-0.184</v>
      </c>
      <c r="E12" s="10" t="s">
        <v>946</v>
      </c>
      <c r="F12" s="10" t="s">
        <v>941</v>
      </c>
      <c r="G12" s="58"/>
      <c r="H12" s="58"/>
      <c r="I12" s="58"/>
      <c r="J12" s="58"/>
      <c r="K12" s="58"/>
      <c r="L12" s="58"/>
      <c r="M12" s="58"/>
      <c r="N12" s="58"/>
      <c r="O12" s="58"/>
      <c r="P12" s="58"/>
      <c r="Q12" s="58"/>
      <c r="R12" s="58"/>
      <c r="S12" s="58"/>
      <c r="T12" s="58"/>
      <c r="U12" s="58"/>
      <c r="V12" s="58"/>
      <c r="W12" s="58"/>
      <c r="X12" s="58"/>
      <c r="Y12" s="58"/>
      <c r="Z12" s="58"/>
      <c r="AA12" s="58"/>
    </row>
    <row r="13">
      <c r="B13" s="9" t="s">
        <v>45</v>
      </c>
      <c r="C13" s="10">
        <v>54.0</v>
      </c>
      <c r="D13" s="10">
        <v>54.0</v>
      </c>
      <c r="E13" s="10">
        <v>54.0</v>
      </c>
      <c r="F13" s="10" t="s">
        <v>941</v>
      </c>
      <c r="G13" s="58"/>
      <c r="H13" s="58"/>
      <c r="I13" s="58"/>
      <c r="J13" s="58"/>
      <c r="K13" s="58"/>
      <c r="L13" s="58"/>
      <c r="M13" s="58"/>
      <c r="N13" s="58"/>
      <c r="O13" s="58"/>
      <c r="P13" s="58"/>
      <c r="Q13" s="58"/>
      <c r="R13" s="58"/>
      <c r="S13" s="58"/>
      <c r="T13" s="58"/>
      <c r="U13" s="58"/>
      <c r="V13" s="58"/>
      <c r="W13" s="58"/>
      <c r="X13" s="58"/>
      <c r="Y13" s="58"/>
      <c r="Z13" s="58"/>
      <c r="AA13" s="58"/>
    </row>
    <row r="14">
      <c r="B14" s="9" t="s">
        <v>942</v>
      </c>
      <c r="C14" s="10">
        <v>0.11</v>
      </c>
      <c r="D14" s="10">
        <v>0.176</v>
      </c>
      <c r="E14" s="10" t="s">
        <v>65</v>
      </c>
      <c r="F14" s="10" t="s">
        <v>941</v>
      </c>
      <c r="G14" s="58"/>
      <c r="H14" s="58"/>
      <c r="I14" s="58"/>
      <c r="J14" s="58"/>
      <c r="K14" s="58"/>
      <c r="L14" s="58"/>
      <c r="M14" s="58"/>
      <c r="N14" s="58"/>
      <c r="O14" s="58"/>
      <c r="P14" s="58"/>
      <c r="Q14" s="58"/>
      <c r="R14" s="58"/>
      <c r="S14" s="58"/>
      <c r="T14" s="58"/>
      <c r="U14" s="58"/>
      <c r="V14" s="58"/>
      <c r="W14" s="58"/>
      <c r="X14" s="58"/>
      <c r="Y14" s="58"/>
      <c r="Z14" s="58"/>
      <c r="AA14" s="58"/>
    </row>
    <row r="15">
      <c r="A15" s="9" t="s">
        <v>911</v>
      </c>
      <c r="B15" s="9" t="s">
        <v>940</v>
      </c>
      <c r="C15" s="10">
        <v>0.192</v>
      </c>
      <c r="D15" s="10">
        <v>-0.15</v>
      </c>
      <c r="E15" s="10">
        <v>0.186</v>
      </c>
      <c r="F15" s="10">
        <v>-0.068</v>
      </c>
      <c r="G15" s="10" t="s">
        <v>941</v>
      </c>
      <c r="H15" s="58"/>
      <c r="I15" s="58"/>
      <c r="J15" s="58"/>
      <c r="K15" s="58"/>
      <c r="L15" s="58"/>
      <c r="M15" s="58"/>
      <c r="N15" s="58"/>
      <c r="O15" s="58"/>
      <c r="P15" s="58"/>
      <c r="Q15" s="58"/>
      <c r="R15" s="58"/>
      <c r="S15" s="58"/>
      <c r="T15" s="58"/>
      <c r="U15" s="58"/>
      <c r="V15" s="58"/>
      <c r="W15" s="58"/>
      <c r="X15" s="58"/>
      <c r="Y15" s="58"/>
      <c r="Z15" s="58"/>
      <c r="AA15" s="58"/>
    </row>
    <row r="16">
      <c r="B16" s="9" t="s">
        <v>45</v>
      </c>
      <c r="C16" s="10">
        <v>54.0</v>
      </c>
      <c r="D16" s="10">
        <v>54.0</v>
      </c>
      <c r="E16" s="10">
        <v>54.0</v>
      </c>
      <c r="F16" s="10">
        <v>54.0</v>
      </c>
      <c r="G16" s="10" t="s">
        <v>941</v>
      </c>
      <c r="H16" s="58"/>
      <c r="I16" s="58"/>
      <c r="J16" s="58"/>
      <c r="K16" s="58"/>
      <c r="L16" s="58"/>
      <c r="M16" s="58"/>
      <c r="N16" s="58"/>
      <c r="O16" s="58"/>
      <c r="P16" s="58"/>
      <c r="Q16" s="58"/>
      <c r="R16" s="58"/>
      <c r="S16" s="58"/>
      <c r="T16" s="58"/>
      <c r="U16" s="58"/>
      <c r="V16" s="58"/>
      <c r="W16" s="58"/>
      <c r="X16" s="58"/>
      <c r="Y16" s="58"/>
      <c r="Z16" s="58"/>
      <c r="AA16" s="58"/>
    </row>
    <row r="17">
      <c r="B17" s="9" t="s">
        <v>942</v>
      </c>
      <c r="C17" s="10">
        <v>0.155</v>
      </c>
      <c r="D17" s="10">
        <v>0.27</v>
      </c>
      <c r="E17" s="10">
        <v>0.169</v>
      </c>
      <c r="F17" s="10">
        <v>0.62</v>
      </c>
      <c r="G17" s="10" t="s">
        <v>941</v>
      </c>
      <c r="H17" s="58"/>
      <c r="I17" s="58"/>
      <c r="J17" s="58"/>
      <c r="K17" s="58"/>
      <c r="L17" s="58"/>
      <c r="M17" s="58"/>
      <c r="N17" s="58"/>
      <c r="O17" s="58"/>
      <c r="P17" s="58"/>
      <c r="Q17" s="58"/>
      <c r="R17" s="58"/>
      <c r="S17" s="58"/>
      <c r="T17" s="58"/>
      <c r="U17" s="58"/>
      <c r="V17" s="58"/>
      <c r="W17" s="58"/>
      <c r="X17" s="58"/>
      <c r="Y17" s="58"/>
      <c r="Z17" s="58"/>
      <c r="AA17" s="58"/>
    </row>
    <row r="18">
      <c r="A18" s="9" t="s">
        <v>912</v>
      </c>
      <c r="B18" s="9" t="s">
        <v>940</v>
      </c>
      <c r="C18" s="10">
        <v>-0.148</v>
      </c>
      <c r="D18" s="10">
        <v>0.068</v>
      </c>
      <c r="E18" s="10">
        <v>-0.067</v>
      </c>
      <c r="F18" s="10">
        <v>-0.009</v>
      </c>
      <c r="G18" s="10" t="s">
        <v>947</v>
      </c>
      <c r="H18" s="10" t="s">
        <v>941</v>
      </c>
      <c r="I18" s="58"/>
      <c r="J18" s="58"/>
      <c r="K18" s="58"/>
      <c r="L18" s="58"/>
      <c r="M18" s="58"/>
      <c r="N18" s="58"/>
      <c r="O18" s="58"/>
      <c r="P18" s="58"/>
      <c r="Q18" s="58"/>
      <c r="R18" s="58"/>
      <c r="S18" s="58"/>
      <c r="T18" s="58"/>
      <c r="U18" s="58"/>
      <c r="V18" s="58"/>
      <c r="W18" s="58"/>
      <c r="X18" s="58"/>
      <c r="Y18" s="58"/>
      <c r="Z18" s="58"/>
      <c r="AA18" s="58"/>
    </row>
    <row r="19">
      <c r="B19" s="9" t="s">
        <v>45</v>
      </c>
      <c r="C19" s="10">
        <v>54.0</v>
      </c>
      <c r="D19" s="10">
        <v>54.0</v>
      </c>
      <c r="E19" s="10">
        <v>54.0</v>
      </c>
      <c r="F19" s="10">
        <v>54.0</v>
      </c>
      <c r="G19" s="10">
        <v>54.0</v>
      </c>
      <c r="H19" s="10" t="s">
        <v>941</v>
      </c>
      <c r="I19" s="58"/>
      <c r="J19" s="58"/>
      <c r="K19" s="58"/>
      <c r="L19" s="58"/>
      <c r="M19" s="58"/>
      <c r="N19" s="58"/>
      <c r="O19" s="58"/>
      <c r="P19" s="58"/>
      <c r="Q19" s="58"/>
      <c r="R19" s="58"/>
      <c r="S19" s="58"/>
      <c r="T19" s="58"/>
      <c r="U19" s="58"/>
      <c r="V19" s="58"/>
      <c r="W19" s="58"/>
      <c r="X19" s="58"/>
      <c r="Y19" s="58"/>
      <c r="Z19" s="58"/>
      <c r="AA19" s="58"/>
    </row>
    <row r="20">
      <c r="B20" s="9" t="s">
        <v>942</v>
      </c>
      <c r="C20" s="10">
        <v>0.278</v>
      </c>
      <c r="D20" s="10">
        <v>0.618</v>
      </c>
      <c r="E20" s="10">
        <v>0.624</v>
      </c>
      <c r="F20" s="10">
        <v>0.945</v>
      </c>
      <c r="G20" s="10">
        <v>0.009</v>
      </c>
      <c r="H20" s="10" t="s">
        <v>941</v>
      </c>
      <c r="I20" s="58"/>
      <c r="J20" s="58"/>
      <c r="K20" s="58"/>
      <c r="L20" s="58"/>
      <c r="M20" s="58"/>
      <c r="N20" s="58"/>
      <c r="O20" s="58"/>
      <c r="P20" s="58"/>
      <c r="Q20" s="58"/>
      <c r="R20" s="58"/>
      <c r="S20" s="58"/>
      <c r="T20" s="58"/>
      <c r="U20" s="58"/>
      <c r="V20" s="58"/>
      <c r="W20" s="58"/>
      <c r="X20" s="58"/>
      <c r="Y20" s="58"/>
      <c r="Z20" s="58"/>
      <c r="AA20" s="58"/>
    </row>
    <row r="21">
      <c r="A21" s="9" t="s">
        <v>948</v>
      </c>
      <c r="B21" s="9" t="s">
        <v>940</v>
      </c>
      <c r="C21" s="10">
        <v>-0.154</v>
      </c>
      <c r="D21" s="10">
        <v>0.113</v>
      </c>
      <c r="E21" s="10">
        <v>-0.016</v>
      </c>
      <c r="F21" s="10">
        <v>0.164</v>
      </c>
      <c r="G21" s="10">
        <v>-0.033</v>
      </c>
      <c r="H21" s="10">
        <v>0.252</v>
      </c>
      <c r="I21" s="10" t="s">
        <v>941</v>
      </c>
      <c r="J21" s="58"/>
      <c r="K21" s="58"/>
      <c r="L21" s="58"/>
      <c r="M21" s="58"/>
      <c r="N21" s="58"/>
      <c r="O21" s="58"/>
      <c r="P21" s="58"/>
      <c r="Q21" s="58"/>
      <c r="R21" s="58"/>
      <c r="S21" s="58"/>
      <c r="T21" s="58"/>
      <c r="U21" s="58"/>
      <c r="V21" s="58"/>
      <c r="W21" s="58"/>
      <c r="X21" s="58"/>
      <c r="Y21" s="58"/>
      <c r="Z21" s="58"/>
      <c r="AA21" s="58"/>
    </row>
    <row r="22">
      <c r="B22" s="9" t="s">
        <v>45</v>
      </c>
      <c r="C22" s="10">
        <v>54.0</v>
      </c>
      <c r="D22" s="10">
        <v>54.0</v>
      </c>
      <c r="E22" s="10">
        <v>54.0</v>
      </c>
      <c r="F22" s="10">
        <v>54.0</v>
      </c>
      <c r="G22" s="10">
        <v>54.0</v>
      </c>
      <c r="H22" s="10">
        <v>54.0</v>
      </c>
      <c r="I22" s="10" t="s">
        <v>941</v>
      </c>
      <c r="J22" s="58"/>
      <c r="K22" s="58"/>
      <c r="L22" s="58"/>
      <c r="M22" s="58"/>
      <c r="N22" s="58"/>
      <c r="O22" s="58"/>
      <c r="P22" s="58"/>
      <c r="Q22" s="58"/>
      <c r="R22" s="58"/>
      <c r="S22" s="58"/>
      <c r="T22" s="58"/>
      <c r="U22" s="58"/>
      <c r="V22" s="58"/>
      <c r="W22" s="58"/>
      <c r="X22" s="58"/>
      <c r="Y22" s="58"/>
      <c r="Z22" s="58"/>
      <c r="AA22" s="58"/>
    </row>
    <row r="23">
      <c r="B23" s="9" t="s">
        <v>942</v>
      </c>
      <c r="C23" s="10">
        <v>0.256</v>
      </c>
      <c r="D23" s="10">
        <v>0.405</v>
      </c>
      <c r="E23" s="10">
        <v>0.907</v>
      </c>
      <c r="F23" s="10">
        <v>0.228</v>
      </c>
      <c r="G23" s="10">
        <v>0.81</v>
      </c>
      <c r="H23" s="10">
        <v>0.061</v>
      </c>
      <c r="I23" s="10" t="s">
        <v>941</v>
      </c>
      <c r="J23" s="58"/>
      <c r="K23" s="58"/>
      <c r="L23" s="58"/>
      <c r="M23" s="58"/>
      <c r="N23" s="58"/>
      <c r="O23" s="58"/>
      <c r="P23" s="58"/>
      <c r="Q23" s="58"/>
      <c r="R23" s="58"/>
      <c r="S23" s="58"/>
      <c r="T23" s="58"/>
      <c r="U23" s="58"/>
      <c r="V23" s="58"/>
      <c r="W23" s="58"/>
      <c r="X23" s="58"/>
      <c r="Y23" s="58"/>
      <c r="Z23" s="58"/>
      <c r="AA23" s="58"/>
    </row>
    <row r="24">
      <c r="A24" s="9" t="s">
        <v>949</v>
      </c>
      <c r="B24" s="9" t="s">
        <v>940</v>
      </c>
      <c r="C24" s="15" t="s">
        <v>978</v>
      </c>
      <c r="D24" s="10" t="s">
        <v>950</v>
      </c>
      <c r="E24" s="10" t="s">
        <v>951</v>
      </c>
      <c r="F24" s="10">
        <v>-0.1</v>
      </c>
      <c r="G24" s="10">
        <v>0.14</v>
      </c>
      <c r="H24" s="10">
        <v>-0.065</v>
      </c>
      <c r="I24" s="10">
        <v>-0.045</v>
      </c>
      <c r="J24" s="10" t="s">
        <v>941</v>
      </c>
      <c r="K24" s="58"/>
      <c r="L24" s="58"/>
      <c r="M24" s="58"/>
      <c r="N24" s="58"/>
      <c r="O24" s="58"/>
      <c r="P24" s="58"/>
      <c r="Q24" s="58"/>
      <c r="R24" s="58"/>
      <c r="S24" s="58"/>
      <c r="T24" s="58"/>
      <c r="U24" s="58"/>
      <c r="V24" s="58"/>
      <c r="W24" s="58"/>
      <c r="X24" s="58"/>
      <c r="Y24" s="58"/>
      <c r="Z24" s="58"/>
      <c r="AA24" s="58"/>
    </row>
    <row r="25">
      <c r="B25" s="9" t="s">
        <v>45</v>
      </c>
      <c r="C25" s="15">
        <v>54.0</v>
      </c>
      <c r="D25" s="10">
        <v>54.0</v>
      </c>
      <c r="E25" s="10">
        <v>54.0</v>
      </c>
      <c r="F25" s="10">
        <v>54.0</v>
      </c>
      <c r="G25" s="10">
        <v>54.0</v>
      </c>
      <c r="H25" s="10">
        <v>54.0</v>
      </c>
      <c r="I25" s="10">
        <v>54.0</v>
      </c>
      <c r="J25" s="10" t="s">
        <v>941</v>
      </c>
      <c r="K25" s="58"/>
      <c r="L25" s="58"/>
      <c r="M25" s="58"/>
      <c r="N25" s="58"/>
      <c r="O25" s="58"/>
      <c r="P25" s="58"/>
      <c r="Q25" s="58"/>
      <c r="R25" s="58"/>
      <c r="S25" s="58"/>
      <c r="T25" s="58"/>
      <c r="U25" s="58"/>
      <c r="V25" s="58"/>
      <c r="W25" s="58"/>
      <c r="X25" s="58"/>
      <c r="Y25" s="58"/>
      <c r="Z25" s="58"/>
      <c r="AA25" s="58"/>
    </row>
    <row r="26">
      <c r="B26" s="9" t="s">
        <v>942</v>
      </c>
      <c r="C26" s="15">
        <v>0.019</v>
      </c>
      <c r="D26" s="10">
        <v>0.034</v>
      </c>
      <c r="E26" s="10" t="s">
        <v>65</v>
      </c>
      <c r="F26" s="10">
        <v>0.462</v>
      </c>
      <c r="G26" s="10">
        <v>0.305</v>
      </c>
      <c r="H26" s="10">
        <v>0.633</v>
      </c>
      <c r="I26" s="10">
        <v>0.742</v>
      </c>
      <c r="J26" s="10" t="s">
        <v>941</v>
      </c>
      <c r="K26" s="58"/>
      <c r="L26" s="58"/>
      <c r="M26" s="58"/>
      <c r="N26" s="58"/>
      <c r="O26" s="58"/>
      <c r="P26" s="58"/>
      <c r="Q26" s="58"/>
      <c r="R26" s="58"/>
      <c r="S26" s="58"/>
      <c r="T26" s="58"/>
      <c r="U26" s="58"/>
      <c r="V26" s="58"/>
      <c r="W26" s="58"/>
      <c r="X26" s="58"/>
      <c r="Y26" s="58"/>
      <c r="Z26" s="58"/>
      <c r="AA26" s="58"/>
    </row>
    <row r="27">
      <c r="A27" s="9" t="s">
        <v>916</v>
      </c>
      <c r="B27" s="9" t="s">
        <v>940</v>
      </c>
      <c r="C27" s="10">
        <v>-0.19</v>
      </c>
      <c r="D27" s="10">
        <v>0.161</v>
      </c>
      <c r="E27" s="10" t="s">
        <v>952</v>
      </c>
      <c r="F27" s="10">
        <v>0.199</v>
      </c>
      <c r="G27" s="10">
        <v>-0.172</v>
      </c>
      <c r="H27" s="10">
        <v>-0.052</v>
      </c>
      <c r="I27" s="10">
        <v>-0.258</v>
      </c>
      <c r="J27" s="10" t="s">
        <v>953</v>
      </c>
      <c r="K27" s="10" t="s">
        <v>941</v>
      </c>
      <c r="L27" s="58"/>
      <c r="M27" s="58"/>
      <c r="N27" s="58"/>
      <c r="O27" s="58"/>
      <c r="P27" s="58"/>
      <c r="Q27" s="58"/>
      <c r="R27" s="58"/>
      <c r="S27" s="58"/>
      <c r="T27" s="58"/>
      <c r="U27" s="58"/>
      <c r="V27" s="58"/>
      <c r="W27" s="58"/>
      <c r="X27" s="58"/>
      <c r="Y27" s="58"/>
      <c r="Z27" s="58"/>
      <c r="AA27" s="58"/>
    </row>
    <row r="28">
      <c r="B28" s="9" t="s">
        <v>45</v>
      </c>
      <c r="C28" s="10">
        <v>54.0</v>
      </c>
      <c r="D28" s="10">
        <v>54.0</v>
      </c>
      <c r="E28" s="10">
        <v>54.0</v>
      </c>
      <c r="F28" s="10">
        <v>54.0</v>
      </c>
      <c r="G28" s="10">
        <v>54.0</v>
      </c>
      <c r="H28" s="10">
        <v>54.0</v>
      </c>
      <c r="I28" s="10">
        <v>54.0</v>
      </c>
      <c r="J28" s="10">
        <v>54.0</v>
      </c>
      <c r="K28" s="10" t="s">
        <v>941</v>
      </c>
      <c r="L28" s="58"/>
      <c r="M28" s="58"/>
      <c r="N28" s="58"/>
      <c r="O28" s="58"/>
      <c r="P28" s="58"/>
      <c r="Q28" s="58"/>
      <c r="R28" s="58"/>
      <c r="S28" s="58"/>
      <c r="T28" s="58"/>
      <c r="U28" s="58"/>
      <c r="V28" s="58"/>
      <c r="W28" s="58"/>
      <c r="X28" s="58"/>
      <c r="Y28" s="58"/>
      <c r="Z28" s="58"/>
      <c r="AA28" s="58"/>
    </row>
    <row r="29">
      <c r="B29" s="9" t="s">
        <v>942</v>
      </c>
      <c r="C29" s="10">
        <v>0.162</v>
      </c>
      <c r="D29" s="10">
        <v>0.237</v>
      </c>
      <c r="E29" s="10">
        <v>0.002</v>
      </c>
      <c r="F29" s="10">
        <v>0.141</v>
      </c>
      <c r="G29" s="10">
        <v>0.204</v>
      </c>
      <c r="H29" s="10">
        <v>0.701</v>
      </c>
      <c r="I29" s="10">
        <v>0.055</v>
      </c>
      <c r="J29" s="10" t="s">
        <v>65</v>
      </c>
      <c r="K29" s="10" t="s">
        <v>941</v>
      </c>
      <c r="L29" s="58"/>
      <c r="M29" s="58"/>
      <c r="N29" s="58"/>
      <c r="O29" s="58"/>
      <c r="P29" s="58"/>
      <c r="Q29" s="58"/>
      <c r="R29" s="58"/>
      <c r="S29" s="58"/>
      <c r="T29" s="58"/>
      <c r="U29" s="58"/>
      <c r="V29" s="58"/>
      <c r="W29" s="58"/>
      <c r="X29" s="58"/>
      <c r="Y29" s="58"/>
      <c r="Z29" s="58"/>
      <c r="AA29" s="58"/>
    </row>
    <row r="30">
      <c r="A30" s="9" t="s">
        <v>917</v>
      </c>
      <c r="B30" s="9" t="s">
        <v>940</v>
      </c>
      <c r="C30" s="10">
        <v>0.14</v>
      </c>
      <c r="D30" s="10">
        <v>-0.192</v>
      </c>
      <c r="E30" s="10">
        <v>0.187</v>
      </c>
      <c r="F30" s="10">
        <v>0.006</v>
      </c>
      <c r="G30" s="10" t="s">
        <v>954</v>
      </c>
      <c r="H30" s="10" t="s">
        <v>955</v>
      </c>
      <c r="I30" s="10">
        <v>0.074</v>
      </c>
      <c r="J30" s="10">
        <v>0.178</v>
      </c>
      <c r="K30" s="10">
        <v>-0.211</v>
      </c>
      <c r="L30" s="10" t="s">
        <v>941</v>
      </c>
      <c r="M30" s="58"/>
      <c r="N30" s="58"/>
      <c r="O30" s="58"/>
      <c r="P30" s="58"/>
      <c r="Q30" s="58"/>
      <c r="R30" s="58"/>
      <c r="S30" s="58"/>
      <c r="T30" s="58"/>
      <c r="U30" s="58"/>
      <c r="V30" s="58"/>
      <c r="W30" s="58"/>
      <c r="X30" s="58"/>
      <c r="Y30" s="58"/>
      <c r="Z30" s="58"/>
      <c r="AA30" s="58"/>
    </row>
    <row r="31">
      <c r="B31" s="9" t="s">
        <v>45</v>
      </c>
      <c r="C31" s="10">
        <v>54.0</v>
      </c>
      <c r="D31" s="10">
        <v>54.0</v>
      </c>
      <c r="E31" s="10">
        <v>54.0</v>
      </c>
      <c r="F31" s="10">
        <v>54.0</v>
      </c>
      <c r="G31" s="10">
        <v>54.0</v>
      </c>
      <c r="H31" s="10">
        <v>54.0</v>
      </c>
      <c r="I31" s="10">
        <v>54.0</v>
      </c>
      <c r="J31" s="10">
        <v>54.0</v>
      </c>
      <c r="K31" s="10">
        <v>54.0</v>
      </c>
      <c r="L31" s="10" t="s">
        <v>941</v>
      </c>
      <c r="M31" s="58"/>
      <c r="N31" s="58"/>
      <c r="O31" s="58"/>
      <c r="P31" s="58"/>
      <c r="Q31" s="58"/>
      <c r="R31" s="58"/>
      <c r="S31" s="58"/>
      <c r="T31" s="58"/>
      <c r="U31" s="58"/>
      <c r="V31" s="58"/>
      <c r="W31" s="58"/>
      <c r="X31" s="58"/>
      <c r="Y31" s="58"/>
      <c r="Z31" s="58"/>
      <c r="AA31" s="58"/>
    </row>
    <row r="32">
      <c r="B32" s="9" t="s">
        <v>942</v>
      </c>
      <c r="C32" s="10">
        <v>0.303</v>
      </c>
      <c r="D32" s="10">
        <v>0.157</v>
      </c>
      <c r="E32" s="10">
        <v>0.168</v>
      </c>
      <c r="F32" s="10">
        <v>0.965</v>
      </c>
      <c r="G32" s="10" t="s">
        <v>65</v>
      </c>
      <c r="H32" s="10">
        <v>0.012</v>
      </c>
      <c r="I32" s="10">
        <v>0.59</v>
      </c>
      <c r="J32" s="10">
        <v>0.189</v>
      </c>
      <c r="K32" s="10">
        <v>0.118</v>
      </c>
      <c r="L32" s="10" t="s">
        <v>941</v>
      </c>
      <c r="M32" s="58"/>
      <c r="N32" s="58"/>
      <c r="O32" s="58"/>
      <c r="P32" s="58"/>
      <c r="Q32" s="58"/>
      <c r="R32" s="58"/>
      <c r="S32" s="58"/>
      <c r="T32" s="58"/>
      <c r="U32" s="58"/>
      <c r="V32" s="58"/>
      <c r="W32" s="58"/>
      <c r="X32" s="58"/>
      <c r="Y32" s="58"/>
      <c r="Z32" s="58"/>
      <c r="AA32" s="58"/>
    </row>
    <row r="33">
      <c r="A33" s="9" t="s">
        <v>918</v>
      </c>
      <c r="B33" s="9" t="s">
        <v>940</v>
      </c>
      <c r="C33" s="10">
        <v>-0.188</v>
      </c>
      <c r="D33" s="10">
        <v>0.082</v>
      </c>
      <c r="E33" s="10">
        <v>-0.131</v>
      </c>
      <c r="F33" s="10">
        <v>0.079</v>
      </c>
      <c r="G33" s="10">
        <v>0.251</v>
      </c>
      <c r="H33" s="10" t="s">
        <v>956</v>
      </c>
      <c r="I33" s="10" t="s">
        <v>957</v>
      </c>
      <c r="J33" s="10">
        <v>-0.115</v>
      </c>
      <c r="K33" s="10">
        <v>-0.124</v>
      </c>
      <c r="L33" s="10">
        <v>0.26</v>
      </c>
      <c r="M33" s="10" t="s">
        <v>941</v>
      </c>
      <c r="N33" s="58"/>
      <c r="O33" s="58"/>
      <c r="P33" s="58"/>
      <c r="Q33" s="58"/>
      <c r="R33" s="58"/>
      <c r="S33" s="58"/>
      <c r="T33" s="58"/>
      <c r="U33" s="58"/>
      <c r="V33" s="58"/>
      <c r="W33" s="58"/>
      <c r="X33" s="58"/>
      <c r="Y33" s="58"/>
      <c r="Z33" s="58"/>
      <c r="AA33" s="58"/>
    </row>
    <row r="34">
      <c r="B34" s="9" t="s">
        <v>45</v>
      </c>
      <c r="C34" s="10">
        <v>54.0</v>
      </c>
      <c r="D34" s="10">
        <v>54.0</v>
      </c>
      <c r="E34" s="10">
        <v>54.0</v>
      </c>
      <c r="F34" s="10">
        <v>54.0</v>
      </c>
      <c r="G34" s="10">
        <v>54.0</v>
      </c>
      <c r="H34" s="10">
        <v>54.0</v>
      </c>
      <c r="I34" s="10">
        <v>54.0</v>
      </c>
      <c r="J34" s="10">
        <v>54.0</v>
      </c>
      <c r="K34" s="10">
        <v>54.0</v>
      </c>
      <c r="L34" s="10">
        <v>54.0</v>
      </c>
      <c r="M34" s="10" t="s">
        <v>941</v>
      </c>
      <c r="N34" s="58"/>
      <c r="O34" s="58"/>
      <c r="P34" s="58"/>
      <c r="Q34" s="58"/>
      <c r="R34" s="58"/>
      <c r="S34" s="58"/>
      <c r="T34" s="58"/>
      <c r="U34" s="58"/>
      <c r="V34" s="58"/>
      <c r="W34" s="58"/>
      <c r="X34" s="58"/>
      <c r="Y34" s="58"/>
      <c r="Z34" s="58"/>
      <c r="AA34" s="58"/>
    </row>
    <row r="35">
      <c r="B35" s="9" t="s">
        <v>942</v>
      </c>
      <c r="C35" s="10">
        <v>0.165</v>
      </c>
      <c r="D35" s="10">
        <v>0.548</v>
      </c>
      <c r="E35" s="10">
        <v>0.336</v>
      </c>
      <c r="F35" s="10">
        <v>0.562</v>
      </c>
      <c r="G35" s="10">
        <v>0.062</v>
      </c>
      <c r="H35" s="10" t="s">
        <v>65</v>
      </c>
      <c r="I35" s="10">
        <v>0.012</v>
      </c>
      <c r="J35" s="10">
        <v>0.397</v>
      </c>
      <c r="K35" s="10">
        <v>0.364</v>
      </c>
      <c r="L35" s="10">
        <v>0.053</v>
      </c>
      <c r="M35" s="10" t="s">
        <v>941</v>
      </c>
      <c r="N35" s="58"/>
      <c r="O35" s="58"/>
      <c r="P35" s="58"/>
      <c r="Q35" s="58"/>
      <c r="R35" s="58"/>
      <c r="S35" s="58"/>
      <c r="T35" s="58"/>
      <c r="U35" s="58"/>
      <c r="V35" s="58"/>
      <c r="W35" s="58"/>
      <c r="X35" s="58"/>
      <c r="Y35" s="58"/>
      <c r="Z35" s="58"/>
      <c r="AA35" s="58"/>
    </row>
    <row r="36">
      <c r="A36" s="9" t="s">
        <v>958</v>
      </c>
      <c r="B36" s="9" t="s">
        <v>940</v>
      </c>
      <c r="C36" s="10">
        <v>0.067</v>
      </c>
      <c r="D36" s="10" t="s">
        <v>959</v>
      </c>
      <c r="E36" s="10">
        <v>-0.004</v>
      </c>
      <c r="F36" s="10">
        <v>-0.018</v>
      </c>
      <c r="G36" s="10">
        <v>-0.065</v>
      </c>
      <c r="H36" s="10">
        <v>-0.004</v>
      </c>
      <c r="I36" s="10">
        <v>0.256</v>
      </c>
      <c r="J36" s="10">
        <v>-0.048</v>
      </c>
      <c r="K36" s="10">
        <v>-0.098</v>
      </c>
      <c r="L36" s="10">
        <v>-0.082</v>
      </c>
      <c r="M36" s="10">
        <v>0.011</v>
      </c>
      <c r="N36" s="10" t="s">
        <v>941</v>
      </c>
      <c r="O36" s="58"/>
      <c r="P36" s="58"/>
      <c r="Q36" s="58"/>
      <c r="R36" s="58"/>
      <c r="S36" s="58"/>
      <c r="T36" s="58"/>
      <c r="U36" s="58"/>
      <c r="V36" s="58"/>
      <c r="W36" s="58"/>
      <c r="X36" s="58"/>
      <c r="Y36" s="58"/>
      <c r="Z36" s="58"/>
      <c r="AA36" s="58"/>
    </row>
    <row r="37">
      <c r="B37" s="9" t="s">
        <v>45</v>
      </c>
      <c r="C37" s="10">
        <v>54.0</v>
      </c>
      <c r="D37" s="10">
        <v>54.0</v>
      </c>
      <c r="E37" s="10">
        <v>54.0</v>
      </c>
      <c r="F37" s="10">
        <v>54.0</v>
      </c>
      <c r="G37" s="10">
        <v>54.0</v>
      </c>
      <c r="H37" s="10">
        <v>54.0</v>
      </c>
      <c r="I37" s="10">
        <v>54.0</v>
      </c>
      <c r="J37" s="10">
        <v>54.0</v>
      </c>
      <c r="K37" s="10">
        <v>54.0</v>
      </c>
      <c r="L37" s="10">
        <v>54.0</v>
      </c>
      <c r="M37" s="10">
        <v>54.0</v>
      </c>
      <c r="N37" s="10" t="s">
        <v>941</v>
      </c>
      <c r="O37" s="58"/>
      <c r="P37" s="58"/>
      <c r="Q37" s="58"/>
      <c r="R37" s="58"/>
      <c r="S37" s="58"/>
      <c r="T37" s="58"/>
      <c r="U37" s="58"/>
      <c r="V37" s="58"/>
      <c r="W37" s="58"/>
      <c r="X37" s="58"/>
      <c r="Y37" s="58"/>
      <c r="Z37" s="58"/>
      <c r="AA37" s="58"/>
    </row>
    <row r="38">
      <c r="B38" s="9" t="s">
        <v>942</v>
      </c>
      <c r="C38" s="10">
        <v>0.626</v>
      </c>
      <c r="D38" s="10">
        <v>0.039</v>
      </c>
      <c r="E38" s="10">
        <v>0.976</v>
      </c>
      <c r="F38" s="10">
        <v>0.897</v>
      </c>
      <c r="G38" s="10">
        <v>0.634</v>
      </c>
      <c r="H38" s="10">
        <v>0.974</v>
      </c>
      <c r="I38" s="10">
        <v>0.057</v>
      </c>
      <c r="J38" s="10">
        <v>0.723</v>
      </c>
      <c r="K38" s="10">
        <v>0.472</v>
      </c>
      <c r="L38" s="10">
        <v>0.549</v>
      </c>
      <c r="M38" s="10">
        <v>0.935</v>
      </c>
      <c r="N38" s="10" t="s">
        <v>941</v>
      </c>
      <c r="O38" s="58"/>
      <c r="P38" s="58"/>
      <c r="Q38" s="58"/>
      <c r="R38" s="58"/>
      <c r="S38" s="58"/>
      <c r="T38" s="58"/>
      <c r="U38" s="58"/>
      <c r="V38" s="58"/>
      <c r="W38" s="58"/>
      <c r="X38" s="58"/>
      <c r="Y38" s="58"/>
      <c r="Z38" s="58"/>
      <c r="AA38" s="58"/>
    </row>
    <row r="39">
      <c r="A39" s="9" t="s">
        <v>960</v>
      </c>
      <c r="B39" s="9" t="s">
        <v>940</v>
      </c>
      <c r="C39" s="10">
        <v>0.244</v>
      </c>
      <c r="D39" s="10">
        <v>0.009</v>
      </c>
      <c r="E39" s="10" t="s">
        <v>961</v>
      </c>
      <c r="F39" s="10" t="s">
        <v>962</v>
      </c>
      <c r="G39" s="10">
        <v>0.053</v>
      </c>
      <c r="H39" s="10">
        <v>-0.149</v>
      </c>
      <c r="I39" s="10">
        <v>-0.161</v>
      </c>
      <c r="J39" s="10">
        <v>0.245</v>
      </c>
      <c r="K39" s="10">
        <v>-0.168</v>
      </c>
      <c r="L39" s="10">
        <v>-0.012</v>
      </c>
      <c r="M39" s="10">
        <v>-0.132</v>
      </c>
      <c r="N39" s="10">
        <v>0.014</v>
      </c>
      <c r="O39" s="10" t="s">
        <v>941</v>
      </c>
      <c r="P39" s="58"/>
      <c r="Q39" s="58"/>
      <c r="R39" s="58"/>
      <c r="S39" s="58"/>
      <c r="T39" s="58"/>
      <c r="U39" s="58"/>
      <c r="V39" s="58"/>
      <c r="W39" s="58"/>
      <c r="X39" s="58"/>
      <c r="Y39" s="58"/>
      <c r="Z39" s="58"/>
      <c r="AA39" s="58"/>
    </row>
    <row r="40">
      <c r="B40" s="9" t="s">
        <v>45</v>
      </c>
      <c r="C40" s="10">
        <v>54.0</v>
      </c>
      <c r="D40" s="10">
        <v>54.0</v>
      </c>
      <c r="E40" s="10">
        <v>54.0</v>
      </c>
      <c r="F40" s="10">
        <v>54.0</v>
      </c>
      <c r="G40" s="10">
        <v>54.0</v>
      </c>
      <c r="H40" s="10">
        <v>54.0</v>
      </c>
      <c r="I40" s="10">
        <v>54.0</v>
      </c>
      <c r="J40" s="10">
        <v>54.0</v>
      </c>
      <c r="K40" s="10">
        <v>54.0</v>
      </c>
      <c r="L40" s="10">
        <v>54.0</v>
      </c>
      <c r="M40" s="10">
        <v>54.0</v>
      </c>
      <c r="N40" s="10">
        <v>54.0</v>
      </c>
      <c r="O40" s="10" t="s">
        <v>941</v>
      </c>
      <c r="P40" s="58"/>
      <c r="Q40" s="58"/>
      <c r="R40" s="58"/>
      <c r="S40" s="58"/>
      <c r="T40" s="58"/>
      <c r="U40" s="58"/>
      <c r="V40" s="58"/>
      <c r="W40" s="58"/>
      <c r="X40" s="58"/>
      <c r="Y40" s="58"/>
      <c r="Z40" s="58"/>
      <c r="AA40" s="58"/>
    </row>
    <row r="41">
      <c r="B41" s="9" t="s">
        <v>942</v>
      </c>
      <c r="C41" s="10">
        <v>0.07</v>
      </c>
      <c r="D41" s="10">
        <v>0.95</v>
      </c>
      <c r="E41" s="10">
        <v>0.019</v>
      </c>
      <c r="F41" s="10">
        <v>0.001</v>
      </c>
      <c r="G41" s="10">
        <v>0.699</v>
      </c>
      <c r="H41" s="10">
        <v>0.272</v>
      </c>
      <c r="I41" s="10">
        <v>0.237</v>
      </c>
      <c r="J41" s="10">
        <v>0.068</v>
      </c>
      <c r="K41" s="10">
        <v>0.216</v>
      </c>
      <c r="L41" s="10">
        <v>0.929</v>
      </c>
      <c r="M41" s="10">
        <v>0.331</v>
      </c>
      <c r="N41" s="10">
        <v>0.918</v>
      </c>
      <c r="O41" s="10" t="s">
        <v>941</v>
      </c>
      <c r="P41" s="58"/>
      <c r="Q41" s="58"/>
      <c r="R41" s="58"/>
      <c r="S41" s="58"/>
      <c r="T41" s="58"/>
      <c r="U41" s="58"/>
      <c r="V41" s="58"/>
      <c r="W41" s="58"/>
      <c r="X41" s="58"/>
      <c r="Y41" s="58"/>
      <c r="Z41" s="58"/>
      <c r="AA41" s="58"/>
    </row>
    <row r="42">
      <c r="A42" s="9" t="s">
        <v>922</v>
      </c>
      <c r="B42" s="9" t="s">
        <v>940</v>
      </c>
      <c r="C42" s="10">
        <v>-0.146</v>
      </c>
      <c r="D42" s="10">
        <v>-0.153</v>
      </c>
      <c r="E42" s="10" t="s">
        <v>963</v>
      </c>
      <c r="F42" s="10" t="s">
        <v>964</v>
      </c>
      <c r="G42" s="10">
        <v>0.159</v>
      </c>
      <c r="H42" s="10">
        <v>0.15</v>
      </c>
      <c r="I42" s="10">
        <v>-0.034</v>
      </c>
      <c r="J42" s="10" t="s">
        <v>965</v>
      </c>
      <c r="K42" s="10">
        <v>0.233</v>
      </c>
      <c r="L42" s="10" t="s">
        <v>966</v>
      </c>
      <c r="M42" s="10">
        <v>0.089</v>
      </c>
      <c r="N42" s="10" t="s">
        <v>967</v>
      </c>
      <c r="O42" s="10" t="s">
        <v>968</v>
      </c>
      <c r="P42" s="10" t="s">
        <v>941</v>
      </c>
      <c r="Q42" s="58"/>
      <c r="R42" s="58"/>
      <c r="S42" s="58"/>
      <c r="T42" s="58"/>
      <c r="U42" s="58"/>
      <c r="V42" s="58"/>
      <c r="W42" s="58"/>
      <c r="X42" s="58"/>
      <c r="Y42" s="58"/>
      <c r="Z42" s="58"/>
      <c r="AA42" s="58"/>
    </row>
    <row r="43">
      <c r="B43" s="9" t="s">
        <v>45</v>
      </c>
      <c r="C43" s="10">
        <v>54.0</v>
      </c>
      <c r="D43" s="10">
        <v>54.0</v>
      </c>
      <c r="E43" s="10">
        <v>54.0</v>
      </c>
      <c r="F43" s="10">
        <v>54.0</v>
      </c>
      <c r="G43" s="10">
        <v>54.0</v>
      </c>
      <c r="H43" s="10">
        <v>54.0</v>
      </c>
      <c r="I43" s="10">
        <v>54.0</v>
      </c>
      <c r="J43" s="10">
        <v>54.0</v>
      </c>
      <c r="K43" s="10">
        <v>54.0</v>
      </c>
      <c r="L43" s="10">
        <v>54.0</v>
      </c>
      <c r="M43" s="10">
        <v>54.0</v>
      </c>
      <c r="N43" s="10">
        <v>54.0</v>
      </c>
      <c r="O43" s="10">
        <v>54.0</v>
      </c>
      <c r="P43" s="10" t="s">
        <v>941</v>
      </c>
      <c r="Q43" s="58"/>
      <c r="R43" s="58"/>
      <c r="S43" s="58"/>
      <c r="T43" s="58"/>
      <c r="U43" s="58"/>
      <c r="V43" s="58"/>
      <c r="W43" s="58"/>
      <c r="X43" s="58"/>
      <c r="Y43" s="58"/>
      <c r="Z43" s="58"/>
      <c r="AA43" s="58"/>
    </row>
    <row r="44">
      <c r="B44" s="9" t="s">
        <v>942</v>
      </c>
      <c r="C44" s="10">
        <v>0.284</v>
      </c>
      <c r="D44" s="10">
        <v>0.26</v>
      </c>
      <c r="E44" s="10">
        <v>0.019</v>
      </c>
      <c r="F44" s="10">
        <v>0.032</v>
      </c>
      <c r="G44" s="10">
        <v>0.242</v>
      </c>
      <c r="H44" s="10">
        <v>0.271</v>
      </c>
      <c r="I44" s="10">
        <v>0.806</v>
      </c>
      <c r="J44" s="10">
        <v>0.035</v>
      </c>
      <c r="K44" s="10">
        <v>0.084</v>
      </c>
      <c r="L44" s="10">
        <v>0.047</v>
      </c>
      <c r="M44" s="10">
        <v>0.517</v>
      </c>
      <c r="N44" s="10">
        <v>0.002</v>
      </c>
      <c r="O44" s="10" t="s">
        <v>65</v>
      </c>
      <c r="P44" s="10" t="s">
        <v>941</v>
      </c>
      <c r="Q44" s="58"/>
      <c r="R44" s="58"/>
      <c r="S44" s="58"/>
      <c r="T44" s="58"/>
      <c r="U44" s="58"/>
      <c r="V44" s="58"/>
      <c r="W44" s="58"/>
      <c r="X44" s="58"/>
      <c r="Y44" s="58"/>
      <c r="Z44" s="58"/>
      <c r="AA44" s="58"/>
    </row>
    <row r="45">
      <c r="A45" s="9" t="s">
        <v>923</v>
      </c>
      <c r="B45" s="9" t="s">
        <v>940</v>
      </c>
      <c r="C45" s="10">
        <v>0.14</v>
      </c>
      <c r="D45" s="10">
        <v>0.056</v>
      </c>
      <c r="E45" s="10">
        <v>0.066</v>
      </c>
      <c r="F45" s="10">
        <v>-0.08</v>
      </c>
      <c r="G45" s="10" t="s">
        <v>969</v>
      </c>
      <c r="H45" s="10" t="s">
        <v>970</v>
      </c>
      <c r="I45" s="10">
        <v>-0.128</v>
      </c>
      <c r="J45" s="10">
        <v>0.025</v>
      </c>
      <c r="K45" s="10">
        <v>0.0</v>
      </c>
      <c r="L45" s="10" t="s">
        <v>971</v>
      </c>
      <c r="M45" s="10" t="s">
        <v>972</v>
      </c>
      <c r="N45" s="10">
        <v>-0.163</v>
      </c>
      <c r="O45" s="10">
        <v>-0.008</v>
      </c>
      <c r="P45" s="10">
        <v>0.152</v>
      </c>
      <c r="Q45" s="10" t="s">
        <v>941</v>
      </c>
      <c r="R45" s="58"/>
      <c r="S45" s="58"/>
      <c r="T45" s="58"/>
      <c r="U45" s="58"/>
      <c r="V45" s="58"/>
      <c r="W45" s="58"/>
      <c r="X45" s="58"/>
      <c r="Y45" s="58"/>
      <c r="Z45" s="58"/>
      <c r="AA45" s="58"/>
    </row>
    <row r="46">
      <c r="B46" s="9" t="s">
        <v>45</v>
      </c>
      <c r="C46" s="10">
        <v>54.0</v>
      </c>
      <c r="D46" s="10">
        <v>54.0</v>
      </c>
      <c r="E46" s="10">
        <v>54.0</v>
      </c>
      <c r="F46" s="10">
        <v>54.0</v>
      </c>
      <c r="G46" s="10">
        <v>54.0</v>
      </c>
      <c r="H46" s="10">
        <v>54.0</v>
      </c>
      <c r="I46" s="10">
        <v>54.0</v>
      </c>
      <c r="J46" s="10">
        <v>54.0</v>
      </c>
      <c r="K46" s="10">
        <v>54.0</v>
      </c>
      <c r="L46" s="10">
        <v>54.0</v>
      </c>
      <c r="M46" s="10">
        <v>54.0</v>
      </c>
      <c r="N46" s="10">
        <v>54.0</v>
      </c>
      <c r="O46" s="10">
        <v>54.0</v>
      </c>
      <c r="P46" s="10">
        <v>54.0</v>
      </c>
      <c r="Q46" s="10" t="s">
        <v>941</v>
      </c>
      <c r="R46" s="58"/>
      <c r="S46" s="58"/>
      <c r="T46" s="58"/>
      <c r="U46" s="58"/>
      <c r="V46" s="58"/>
      <c r="W46" s="58"/>
      <c r="X46" s="58"/>
      <c r="Y46" s="58"/>
      <c r="Z46" s="58"/>
      <c r="AA46" s="58"/>
    </row>
    <row r="47">
      <c r="B47" s="9" t="s">
        <v>942</v>
      </c>
      <c r="C47" s="10">
        <v>0.304</v>
      </c>
      <c r="D47" s="10">
        <v>0.68</v>
      </c>
      <c r="E47" s="10">
        <v>0.627</v>
      </c>
      <c r="F47" s="10">
        <v>0.56</v>
      </c>
      <c r="G47" s="10" t="s">
        <v>65</v>
      </c>
      <c r="H47" s="10" t="s">
        <v>65</v>
      </c>
      <c r="I47" s="10">
        <v>0.348</v>
      </c>
      <c r="J47" s="10">
        <v>0.856</v>
      </c>
      <c r="K47" s="10">
        <v>0.999</v>
      </c>
      <c r="L47" s="10" t="s">
        <v>65</v>
      </c>
      <c r="M47" s="10">
        <v>0.006</v>
      </c>
      <c r="N47" s="10">
        <v>0.23</v>
      </c>
      <c r="O47" s="10">
        <v>0.952</v>
      </c>
      <c r="P47" s="10">
        <v>0.263</v>
      </c>
      <c r="Q47" s="10" t="s">
        <v>941</v>
      </c>
      <c r="R47" s="58"/>
      <c r="S47" s="58"/>
      <c r="T47" s="58"/>
      <c r="U47" s="58"/>
      <c r="V47" s="58"/>
      <c r="W47" s="58"/>
      <c r="X47" s="58"/>
      <c r="Y47" s="58"/>
      <c r="Z47" s="58"/>
      <c r="AA47" s="58"/>
    </row>
    <row r="48">
      <c r="A48" s="9" t="s">
        <v>924</v>
      </c>
      <c r="B48" s="9" t="s">
        <v>940</v>
      </c>
      <c r="C48" s="10">
        <v>-0.147</v>
      </c>
      <c r="D48" s="10">
        <v>-0.013</v>
      </c>
      <c r="E48" s="10">
        <v>-0.096</v>
      </c>
      <c r="F48" s="10">
        <v>0.1</v>
      </c>
      <c r="G48" s="10" t="s">
        <v>973</v>
      </c>
      <c r="H48" s="10" t="s">
        <v>974</v>
      </c>
      <c r="I48" s="10">
        <v>0.019</v>
      </c>
      <c r="J48" s="10">
        <v>-0.096</v>
      </c>
      <c r="K48" s="10">
        <v>0.023</v>
      </c>
      <c r="L48" s="10" t="s">
        <v>975</v>
      </c>
      <c r="M48" s="10" t="s">
        <v>976</v>
      </c>
      <c r="N48" s="10">
        <v>-0.071</v>
      </c>
      <c r="O48" s="10">
        <v>-0.25</v>
      </c>
      <c r="P48" s="10">
        <v>0.174</v>
      </c>
      <c r="Q48" s="10" t="s">
        <v>977</v>
      </c>
      <c r="R48" s="10" t="s">
        <v>941</v>
      </c>
      <c r="S48" s="58"/>
      <c r="T48" s="58"/>
      <c r="U48" s="58"/>
      <c r="V48" s="58"/>
      <c r="W48" s="58"/>
      <c r="X48" s="58"/>
      <c r="Y48" s="58"/>
      <c r="Z48" s="58"/>
      <c r="AA48" s="58"/>
    </row>
    <row r="49">
      <c r="B49" s="9" t="s">
        <v>45</v>
      </c>
      <c r="C49" s="10">
        <v>54.0</v>
      </c>
      <c r="D49" s="10">
        <v>54.0</v>
      </c>
      <c r="E49" s="10">
        <v>54.0</v>
      </c>
      <c r="F49" s="10">
        <v>54.0</v>
      </c>
      <c r="G49" s="10">
        <v>54.0</v>
      </c>
      <c r="H49" s="10">
        <v>54.0</v>
      </c>
      <c r="I49" s="10">
        <v>54.0</v>
      </c>
      <c r="J49" s="10">
        <v>54.0</v>
      </c>
      <c r="K49" s="10">
        <v>54.0</v>
      </c>
      <c r="L49" s="10">
        <v>54.0</v>
      </c>
      <c r="M49" s="10">
        <v>54.0</v>
      </c>
      <c r="N49" s="10">
        <v>54.0</v>
      </c>
      <c r="O49" s="10">
        <v>54.0</v>
      </c>
      <c r="P49" s="10">
        <v>54.0</v>
      </c>
      <c r="Q49" s="10">
        <v>54.0</v>
      </c>
      <c r="R49" s="10" t="s">
        <v>941</v>
      </c>
      <c r="S49" s="58"/>
      <c r="T49" s="58"/>
      <c r="U49" s="58"/>
      <c r="V49" s="58"/>
      <c r="W49" s="58"/>
      <c r="X49" s="58"/>
      <c r="Y49" s="58"/>
      <c r="Z49" s="58"/>
      <c r="AA49" s="58"/>
    </row>
    <row r="50">
      <c r="B50" s="9" t="s">
        <v>942</v>
      </c>
      <c r="C50" s="10">
        <v>0.28</v>
      </c>
      <c r="D50" s="10">
        <v>0.923</v>
      </c>
      <c r="E50" s="10">
        <v>0.48</v>
      </c>
      <c r="F50" s="10">
        <v>0.462</v>
      </c>
      <c r="G50" s="10">
        <v>0.004</v>
      </c>
      <c r="H50" s="10" t="s">
        <v>65</v>
      </c>
      <c r="I50" s="10">
        <v>0.887</v>
      </c>
      <c r="J50" s="10">
        <v>0.483</v>
      </c>
      <c r="K50" s="10">
        <v>0.868</v>
      </c>
      <c r="L50" s="10">
        <v>0.044</v>
      </c>
      <c r="M50" s="10" t="s">
        <v>65</v>
      </c>
      <c r="N50" s="10">
        <v>0.603</v>
      </c>
      <c r="O50" s="10">
        <v>0.063</v>
      </c>
      <c r="P50" s="10">
        <v>0.201</v>
      </c>
      <c r="Q50" s="10" t="s">
        <v>65</v>
      </c>
      <c r="R50" s="10" t="s">
        <v>941</v>
      </c>
      <c r="S50" s="58"/>
      <c r="T50" s="58"/>
      <c r="U50" s="58"/>
      <c r="V50" s="58"/>
      <c r="W50" s="58"/>
      <c r="X50" s="58"/>
      <c r="Y50" s="58"/>
      <c r="Z50" s="58"/>
      <c r="AA50" s="58"/>
    </row>
    <row r="51">
      <c r="A51" s="9" t="s">
        <v>938</v>
      </c>
      <c r="B51" s="9" t="s">
        <v>940</v>
      </c>
      <c r="C51" s="10">
        <v>0.143</v>
      </c>
      <c r="D51" s="10" t="s">
        <v>979</v>
      </c>
      <c r="E51" s="10">
        <v>-0.077</v>
      </c>
      <c r="F51" s="10">
        <v>-0.076</v>
      </c>
      <c r="G51" s="10">
        <v>0.032</v>
      </c>
      <c r="H51" s="10">
        <v>0.129</v>
      </c>
      <c r="I51" s="10" t="s">
        <v>980</v>
      </c>
      <c r="J51" s="10">
        <v>-0.053</v>
      </c>
      <c r="K51" s="10">
        <v>0.011</v>
      </c>
      <c r="L51" s="10">
        <v>-0.031</v>
      </c>
      <c r="M51" s="10">
        <v>0.113</v>
      </c>
      <c r="N51" s="10" t="s">
        <v>981</v>
      </c>
      <c r="O51" s="10">
        <v>-0.114</v>
      </c>
      <c r="P51" s="10">
        <v>-0.042</v>
      </c>
      <c r="Q51" s="10">
        <v>0.083</v>
      </c>
      <c r="R51" s="10">
        <v>0.197</v>
      </c>
      <c r="S51" s="10" t="s">
        <v>941</v>
      </c>
      <c r="T51" s="58"/>
      <c r="U51" s="58"/>
      <c r="V51" s="58"/>
      <c r="W51" s="58"/>
      <c r="X51" s="58"/>
      <c r="Y51" s="58"/>
      <c r="Z51" s="58"/>
      <c r="AA51" s="58"/>
    </row>
    <row r="52">
      <c r="B52" s="9" t="s">
        <v>45</v>
      </c>
      <c r="C52" s="10">
        <v>54.0</v>
      </c>
      <c r="D52" s="10">
        <v>54.0</v>
      </c>
      <c r="E52" s="10">
        <v>54.0</v>
      </c>
      <c r="F52" s="10">
        <v>54.0</v>
      </c>
      <c r="G52" s="10">
        <v>54.0</v>
      </c>
      <c r="H52" s="10">
        <v>54.0</v>
      </c>
      <c r="I52" s="10">
        <v>54.0</v>
      </c>
      <c r="J52" s="10">
        <v>54.0</v>
      </c>
      <c r="K52" s="10">
        <v>54.0</v>
      </c>
      <c r="L52" s="10">
        <v>54.0</v>
      </c>
      <c r="M52" s="10">
        <v>54.0</v>
      </c>
      <c r="N52" s="10">
        <v>54.0</v>
      </c>
      <c r="O52" s="10">
        <v>54.0</v>
      </c>
      <c r="P52" s="10">
        <v>54.0</v>
      </c>
      <c r="Q52" s="10">
        <v>54.0</v>
      </c>
      <c r="R52" s="10">
        <v>54.0</v>
      </c>
      <c r="S52" s="10" t="s">
        <v>941</v>
      </c>
      <c r="T52" s="58"/>
      <c r="U52" s="58"/>
      <c r="V52" s="58"/>
      <c r="W52" s="58"/>
      <c r="X52" s="58"/>
      <c r="Y52" s="58"/>
      <c r="Z52" s="58"/>
      <c r="AA52" s="58"/>
    </row>
    <row r="53">
      <c r="B53" s="9" t="s">
        <v>942</v>
      </c>
      <c r="C53" s="10">
        <v>0.291</v>
      </c>
      <c r="D53" s="10">
        <v>0.043</v>
      </c>
      <c r="E53" s="10">
        <v>0.57</v>
      </c>
      <c r="F53" s="10">
        <v>0.578</v>
      </c>
      <c r="G53" s="10">
        <v>0.818</v>
      </c>
      <c r="H53" s="10">
        <v>0.342</v>
      </c>
      <c r="I53" s="10">
        <v>0.01</v>
      </c>
      <c r="J53" s="10">
        <v>0.699</v>
      </c>
      <c r="K53" s="10">
        <v>0.935</v>
      </c>
      <c r="L53" s="10">
        <v>0.821</v>
      </c>
      <c r="M53" s="10">
        <v>0.409</v>
      </c>
      <c r="N53" s="10">
        <v>0.02</v>
      </c>
      <c r="O53" s="10">
        <v>0.404</v>
      </c>
      <c r="P53" s="10">
        <v>0.758</v>
      </c>
      <c r="Q53" s="10">
        <v>0.543</v>
      </c>
      <c r="R53" s="10">
        <v>0.145</v>
      </c>
      <c r="S53" s="10" t="s">
        <v>941</v>
      </c>
      <c r="T53" s="58"/>
      <c r="U53" s="58"/>
      <c r="V53" s="58"/>
      <c r="W53" s="58"/>
      <c r="X53" s="58"/>
      <c r="Y53" s="58"/>
      <c r="Z53" s="58"/>
      <c r="AA53" s="58"/>
    </row>
    <row r="54">
      <c r="A54" s="9" t="s">
        <v>939</v>
      </c>
      <c r="B54" s="9" t="s">
        <v>940</v>
      </c>
      <c r="C54" s="10">
        <v>0.227</v>
      </c>
      <c r="D54" s="10" t="s">
        <v>982</v>
      </c>
      <c r="E54" s="10" t="s">
        <v>983</v>
      </c>
      <c r="F54" s="10">
        <v>-0.193</v>
      </c>
      <c r="G54" s="10">
        <v>0.004</v>
      </c>
      <c r="H54" s="10">
        <v>-0.259</v>
      </c>
      <c r="I54" s="10">
        <v>-0.204</v>
      </c>
      <c r="J54" s="10" t="s">
        <v>984</v>
      </c>
      <c r="K54" s="10" t="s">
        <v>985</v>
      </c>
      <c r="L54" s="10">
        <v>0.009</v>
      </c>
      <c r="M54" s="10">
        <v>-0.122</v>
      </c>
      <c r="N54" s="10">
        <v>0.122</v>
      </c>
      <c r="O54" s="10" t="s">
        <v>986</v>
      </c>
      <c r="P54" s="10" t="s">
        <v>987</v>
      </c>
      <c r="Q54" s="10">
        <v>-0.116</v>
      </c>
      <c r="R54" s="10">
        <v>-0.155</v>
      </c>
      <c r="S54" s="10">
        <v>-0.104</v>
      </c>
      <c r="T54" s="10" t="s">
        <v>941</v>
      </c>
      <c r="U54" s="58"/>
      <c r="V54" s="58"/>
      <c r="W54" s="58"/>
      <c r="X54" s="58"/>
      <c r="Y54" s="58"/>
      <c r="Z54" s="58"/>
      <c r="AA54" s="58"/>
    </row>
    <row r="55">
      <c r="B55" s="9" t="s">
        <v>45</v>
      </c>
      <c r="C55" s="10">
        <v>54.0</v>
      </c>
      <c r="D55" s="10">
        <v>54.0</v>
      </c>
      <c r="E55" s="10">
        <v>54.0</v>
      </c>
      <c r="F55" s="10">
        <v>54.0</v>
      </c>
      <c r="G55" s="10">
        <v>54.0</v>
      </c>
      <c r="H55" s="10">
        <v>54.0</v>
      </c>
      <c r="I55" s="10">
        <v>54.0</v>
      </c>
      <c r="J55" s="10">
        <v>54.0</v>
      </c>
      <c r="K55" s="10">
        <v>54.0</v>
      </c>
      <c r="L55" s="10">
        <v>54.0</v>
      </c>
      <c r="M55" s="10">
        <v>54.0</v>
      </c>
      <c r="N55" s="10">
        <v>54.0</v>
      </c>
      <c r="O55" s="10">
        <v>54.0</v>
      </c>
      <c r="P55" s="10">
        <v>54.0</v>
      </c>
      <c r="Q55" s="10">
        <v>54.0</v>
      </c>
      <c r="R55" s="10">
        <v>54.0</v>
      </c>
      <c r="S55" s="10">
        <v>54.0</v>
      </c>
      <c r="T55" s="10" t="s">
        <v>941</v>
      </c>
      <c r="U55" s="58"/>
      <c r="V55" s="58"/>
      <c r="W55" s="58"/>
      <c r="X55" s="58"/>
      <c r="Y55" s="58"/>
      <c r="Z55" s="58"/>
      <c r="AA55" s="58"/>
    </row>
    <row r="56">
      <c r="B56" s="9" t="s">
        <v>942</v>
      </c>
      <c r="C56" s="10">
        <v>0.093</v>
      </c>
      <c r="D56" s="10">
        <v>0.009</v>
      </c>
      <c r="E56" s="10" t="s">
        <v>65</v>
      </c>
      <c r="F56" s="10">
        <v>0.154</v>
      </c>
      <c r="G56" s="10">
        <v>0.975</v>
      </c>
      <c r="H56" s="10">
        <v>0.054</v>
      </c>
      <c r="I56" s="10">
        <v>0.131</v>
      </c>
      <c r="J56" s="10" t="s">
        <v>65</v>
      </c>
      <c r="K56" s="10">
        <v>0.009</v>
      </c>
      <c r="L56" s="10">
        <v>0.949</v>
      </c>
      <c r="M56" s="10">
        <v>0.371</v>
      </c>
      <c r="N56" s="10">
        <v>0.37</v>
      </c>
      <c r="O56" s="10">
        <v>0.029</v>
      </c>
      <c r="P56" s="10">
        <v>0.007</v>
      </c>
      <c r="Q56" s="10">
        <v>0.395</v>
      </c>
      <c r="R56" s="10">
        <v>0.255</v>
      </c>
      <c r="S56" s="10">
        <v>0.445</v>
      </c>
      <c r="T56" s="10" t="s">
        <v>941</v>
      </c>
      <c r="U56" s="58"/>
      <c r="V56" s="58"/>
      <c r="W56" s="58"/>
      <c r="X56" s="58"/>
      <c r="Y56" s="58"/>
      <c r="Z56" s="58"/>
      <c r="AA56" s="58"/>
    </row>
    <row r="57">
      <c r="A57" s="9" t="s">
        <v>928</v>
      </c>
      <c r="B57" s="9" t="s">
        <v>940</v>
      </c>
      <c r="C57" s="15" t="s">
        <v>1041</v>
      </c>
      <c r="D57" s="10">
        <v>-0.003</v>
      </c>
      <c r="E57" s="10" t="s">
        <v>994</v>
      </c>
      <c r="F57" s="10" t="s">
        <v>995</v>
      </c>
      <c r="G57" s="10">
        <v>-0.028</v>
      </c>
      <c r="H57" s="10">
        <v>0.087</v>
      </c>
      <c r="I57" s="10">
        <v>-0.125</v>
      </c>
      <c r="J57" s="10" t="s">
        <v>996</v>
      </c>
      <c r="K57" s="10" t="s">
        <v>997</v>
      </c>
      <c r="L57" s="10">
        <v>0.057</v>
      </c>
      <c r="M57" s="10">
        <v>0.018</v>
      </c>
      <c r="N57" s="10">
        <v>-0.211</v>
      </c>
      <c r="O57" s="10">
        <v>-0.197</v>
      </c>
      <c r="P57" s="10" t="s">
        <v>998</v>
      </c>
      <c r="Q57" s="10">
        <v>0.081</v>
      </c>
      <c r="R57" s="10">
        <v>-0.013</v>
      </c>
      <c r="S57" s="10" t="s">
        <v>999</v>
      </c>
      <c r="T57" s="10" t="s">
        <v>1000</v>
      </c>
      <c r="U57" s="10" t="s">
        <v>941</v>
      </c>
      <c r="V57" s="58"/>
      <c r="W57" s="58"/>
      <c r="X57" s="58"/>
      <c r="Y57" s="58"/>
      <c r="Z57" s="58"/>
      <c r="AA57" s="58"/>
    </row>
    <row r="58">
      <c r="B58" s="9" t="s">
        <v>45</v>
      </c>
      <c r="C58" s="15">
        <v>54.0</v>
      </c>
      <c r="D58" s="10">
        <v>54.0</v>
      </c>
      <c r="E58" s="10">
        <v>54.0</v>
      </c>
      <c r="F58" s="10">
        <v>54.0</v>
      </c>
      <c r="G58" s="10">
        <v>54.0</v>
      </c>
      <c r="H58" s="10">
        <v>54.0</v>
      </c>
      <c r="I58" s="10">
        <v>54.0</v>
      </c>
      <c r="J58" s="10">
        <v>54.0</v>
      </c>
      <c r="K58" s="10">
        <v>54.0</v>
      </c>
      <c r="L58" s="10">
        <v>54.0</v>
      </c>
      <c r="M58" s="10">
        <v>54.0</v>
      </c>
      <c r="N58" s="10">
        <v>54.0</v>
      </c>
      <c r="O58" s="10">
        <v>54.0</v>
      </c>
      <c r="P58" s="10">
        <v>54.0</v>
      </c>
      <c r="Q58" s="10">
        <v>54.0</v>
      </c>
      <c r="R58" s="10">
        <v>54.0</v>
      </c>
      <c r="S58" s="10">
        <v>54.0</v>
      </c>
      <c r="T58" s="10">
        <v>54.0</v>
      </c>
      <c r="U58" s="10" t="s">
        <v>941</v>
      </c>
      <c r="V58" s="58"/>
      <c r="W58" s="58"/>
      <c r="X58" s="58"/>
      <c r="Y58" s="58"/>
      <c r="Z58" s="58"/>
      <c r="AA58" s="58"/>
    </row>
    <row r="59">
      <c r="B59" s="9" t="s">
        <v>942</v>
      </c>
      <c r="C59" s="15">
        <v>0.008</v>
      </c>
      <c r="D59" s="10">
        <v>0.98</v>
      </c>
      <c r="E59" s="10">
        <v>0.003</v>
      </c>
      <c r="F59" s="10">
        <v>0.013</v>
      </c>
      <c r="G59" s="10">
        <v>0.837</v>
      </c>
      <c r="H59" s="10">
        <v>0.526</v>
      </c>
      <c r="I59" s="10">
        <v>0.359</v>
      </c>
      <c r="J59" s="10" t="s">
        <v>65</v>
      </c>
      <c r="K59" s="10">
        <v>0.025</v>
      </c>
      <c r="L59" s="10">
        <v>0.677</v>
      </c>
      <c r="M59" s="10">
        <v>0.897</v>
      </c>
      <c r="N59" s="10">
        <v>0.118</v>
      </c>
      <c r="O59" s="10">
        <v>0.146</v>
      </c>
      <c r="P59" s="10">
        <v>0.005</v>
      </c>
      <c r="Q59" s="10">
        <v>0.552</v>
      </c>
      <c r="R59" s="10">
        <v>0.922</v>
      </c>
      <c r="S59" s="10" t="s">
        <v>65</v>
      </c>
      <c r="T59" s="10" t="s">
        <v>65</v>
      </c>
      <c r="U59" s="10" t="s">
        <v>941</v>
      </c>
      <c r="V59" s="58"/>
      <c r="W59" s="58"/>
      <c r="X59" s="58"/>
      <c r="Y59" s="58"/>
      <c r="Z59" s="58"/>
      <c r="AA59" s="58"/>
    </row>
    <row r="60">
      <c r="A60" s="9" t="s">
        <v>929</v>
      </c>
      <c r="B60" s="9" t="s">
        <v>940</v>
      </c>
      <c r="C60" s="10">
        <v>0.148</v>
      </c>
      <c r="D60" s="10">
        <v>0.053</v>
      </c>
      <c r="E60" s="10">
        <v>-0.006</v>
      </c>
      <c r="F60" s="10">
        <v>-0.005</v>
      </c>
      <c r="G60" s="10" t="s">
        <v>1001</v>
      </c>
      <c r="H60" s="10" t="s">
        <v>1002</v>
      </c>
      <c r="I60" s="10">
        <v>0.039</v>
      </c>
      <c r="J60" s="10">
        <v>0.097</v>
      </c>
      <c r="K60" s="10">
        <v>-0.084</v>
      </c>
      <c r="L60" s="10" t="s">
        <v>1003</v>
      </c>
      <c r="M60" s="10" t="s">
        <v>1004</v>
      </c>
      <c r="N60" s="10">
        <v>0.053</v>
      </c>
      <c r="O60" s="10">
        <v>-0.035</v>
      </c>
      <c r="P60" s="10">
        <v>0.027</v>
      </c>
      <c r="Q60" s="10" t="s">
        <v>1005</v>
      </c>
      <c r="R60" s="10" t="s">
        <v>1006</v>
      </c>
      <c r="S60" s="10">
        <v>0.139</v>
      </c>
      <c r="T60" s="10">
        <v>-0.075</v>
      </c>
      <c r="U60" s="10">
        <v>0.069</v>
      </c>
      <c r="V60" s="10" t="s">
        <v>941</v>
      </c>
      <c r="W60" s="58"/>
      <c r="X60" s="58"/>
      <c r="Y60" s="58"/>
      <c r="Z60" s="58"/>
      <c r="AA60" s="58"/>
    </row>
    <row r="61">
      <c r="B61" s="9" t="s">
        <v>45</v>
      </c>
      <c r="C61" s="10">
        <v>54.0</v>
      </c>
      <c r="D61" s="10">
        <v>54.0</v>
      </c>
      <c r="E61" s="10">
        <v>54.0</v>
      </c>
      <c r="F61" s="10">
        <v>54.0</v>
      </c>
      <c r="G61" s="10">
        <v>54.0</v>
      </c>
      <c r="H61" s="10">
        <v>54.0</v>
      </c>
      <c r="I61" s="10">
        <v>54.0</v>
      </c>
      <c r="J61" s="10">
        <v>54.0</v>
      </c>
      <c r="K61" s="10">
        <v>54.0</v>
      </c>
      <c r="L61" s="10">
        <v>54.0</v>
      </c>
      <c r="M61" s="10">
        <v>54.0</v>
      </c>
      <c r="N61" s="10">
        <v>54.0</v>
      </c>
      <c r="O61" s="10">
        <v>54.0</v>
      </c>
      <c r="P61" s="10">
        <v>54.0</v>
      </c>
      <c r="Q61" s="10">
        <v>54.0</v>
      </c>
      <c r="R61" s="10">
        <v>54.0</v>
      </c>
      <c r="S61" s="10">
        <v>54.0</v>
      </c>
      <c r="T61" s="10">
        <v>54.0</v>
      </c>
      <c r="U61" s="10">
        <v>54.0</v>
      </c>
      <c r="V61" s="10" t="s">
        <v>941</v>
      </c>
      <c r="W61" s="58"/>
      <c r="X61" s="58"/>
      <c r="Y61" s="58"/>
      <c r="Z61" s="58"/>
      <c r="AA61" s="58"/>
    </row>
    <row r="62">
      <c r="B62" s="9" t="s">
        <v>942</v>
      </c>
      <c r="C62" s="10">
        <v>0.278</v>
      </c>
      <c r="D62" s="10">
        <v>0.699</v>
      </c>
      <c r="E62" s="10">
        <v>0.966</v>
      </c>
      <c r="F62" s="10">
        <v>0.97</v>
      </c>
      <c r="G62" s="10" t="s">
        <v>65</v>
      </c>
      <c r="H62" s="10" t="s">
        <v>65</v>
      </c>
      <c r="I62" s="10">
        <v>0.774</v>
      </c>
      <c r="J62" s="10">
        <v>0.478</v>
      </c>
      <c r="K62" s="10">
        <v>0.536</v>
      </c>
      <c r="L62" s="10" t="s">
        <v>65</v>
      </c>
      <c r="M62" s="10">
        <v>0.009</v>
      </c>
      <c r="N62" s="10">
        <v>0.7</v>
      </c>
      <c r="O62" s="10">
        <v>0.799</v>
      </c>
      <c r="P62" s="10">
        <v>0.842</v>
      </c>
      <c r="Q62" s="10" t="s">
        <v>65</v>
      </c>
      <c r="R62" s="10" t="s">
        <v>65</v>
      </c>
      <c r="S62" s="10">
        <v>0.308</v>
      </c>
      <c r="T62" s="10">
        <v>0.584</v>
      </c>
      <c r="U62" s="10">
        <v>0.612</v>
      </c>
      <c r="V62" s="10" t="s">
        <v>941</v>
      </c>
      <c r="W62" s="58"/>
      <c r="X62" s="58"/>
      <c r="Y62" s="58"/>
      <c r="Z62" s="58"/>
      <c r="AA62" s="58"/>
    </row>
    <row r="63">
      <c r="A63" s="9" t="s">
        <v>930</v>
      </c>
      <c r="B63" s="9" t="s">
        <v>940</v>
      </c>
      <c r="C63" s="10">
        <v>-0.077</v>
      </c>
      <c r="D63" s="10">
        <v>0.153</v>
      </c>
      <c r="E63" s="10">
        <v>-0.079</v>
      </c>
      <c r="F63" s="10">
        <v>-0.014</v>
      </c>
      <c r="G63" s="10" t="s">
        <v>1007</v>
      </c>
      <c r="H63" s="10" t="s">
        <v>1008</v>
      </c>
      <c r="I63" s="10" t="s">
        <v>1009</v>
      </c>
      <c r="J63" s="10">
        <v>-0.129</v>
      </c>
      <c r="K63" s="10">
        <v>-0.03</v>
      </c>
      <c r="L63" s="10" t="s">
        <v>1010</v>
      </c>
      <c r="M63" s="10" t="s">
        <v>1011</v>
      </c>
      <c r="N63" s="10">
        <v>0.145</v>
      </c>
      <c r="O63" s="10">
        <v>-0.074</v>
      </c>
      <c r="P63" s="10">
        <v>-0.04</v>
      </c>
      <c r="Q63" s="10" t="s">
        <v>1012</v>
      </c>
      <c r="R63" s="10" t="s">
        <v>1013</v>
      </c>
      <c r="S63" s="10">
        <v>0.132</v>
      </c>
      <c r="T63" s="10">
        <v>-0.187</v>
      </c>
      <c r="U63" s="10">
        <v>0.13</v>
      </c>
      <c r="V63" s="10" t="s">
        <v>1014</v>
      </c>
      <c r="W63" s="10" t="s">
        <v>941</v>
      </c>
      <c r="X63" s="58"/>
      <c r="Y63" s="58"/>
      <c r="Z63" s="58"/>
      <c r="AA63" s="58"/>
    </row>
    <row r="64">
      <c r="B64" s="9" t="s">
        <v>45</v>
      </c>
      <c r="C64" s="10">
        <v>54.0</v>
      </c>
      <c r="D64" s="10">
        <v>54.0</v>
      </c>
      <c r="E64" s="10">
        <v>54.0</v>
      </c>
      <c r="F64" s="10">
        <v>54.0</v>
      </c>
      <c r="G64" s="10">
        <v>54.0</v>
      </c>
      <c r="H64" s="10">
        <v>54.0</v>
      </c>
      <c r="I64" s="10">
        <v>54.0</v>
      </c>
      <c r="J64" s="10">
        <v>54.0</v>
      </c>
      <c r="K64" s="10">
        <v>54.0</v>
      </c>
      <c r="L64" s="10">
        <v>54.0</v>
      </c>
      <c r="M64" s="10">
        <v>54.0</v>
      </c>
      <c r="N64" s="10">
        <v>54.0</v>
      </c>
      <c r="O64" s="10">
        <v>54.0</v>
      </c>
      <c r="P64" s="10">
        <v>54.0</v>
      </c>
      <c r="Q64" s="10">
        <v>54.0</v>
      </c>
      <c r="R64" s="10">
        <v>54.0</v>
      </c>
      <c r="S64" s="10">
        <v>54.0</v>
      </c>
      <c r="T64" s="10">
        <v>54.0</v>
      </c>
      <c r="U64" s="10">
        <v>54.0</v>
      </c>
      <c r="V64" s="10">
        <v>54.0</v>
      </c>
      <c r="W64" s="10" t="s">
        <v>941</v>
      </c>
      <c r="X64" s="58"/>
      <c r="Y64" s="58"/>
      <c r="Z64" s="58"/>
      <c r="AA64" s="58"/>
    </row>
    <row r="65">
      <c r="B65" s="9" t="s">
        <v>942</v>
      </c>
      <c r="C65" s="10">
        <v>0.574</v>
      </c>
      <c r="D65" s="10">
        <v>0.26</v>
      </c>
      <c r="E65" s="10">
        <v>0.563</v>
      </c>
      <c r="F65" s="10">
        <v>0.919</v>
      </c>
      <c r="G65" s="10">
        <v>0.011</v>
      </c>
      <c r="H65" s="10" t="s">
        <v>65</v>
      </c>
      <c r="I65" s="10">
        <v>0.041</v>
      </c>
      <c r="J65" s="10">
        <v>0.342</v>
      </c>
      <c r="K65" s="10">
        <v>0.828</v>
      </c>
      <c r="L65" s="10">
        <v>0.022</v>
      </c>
      <c r="M65" s="10" t="s">
        <v>65</v>
      </c>
      <c r="N65" s="10">
        <v>0.286</v>
      </c>
      <c r="O65" s="10">
        <v>0.589</v>
      </c>
      <c r="P65" s="10">
        <v>0.771</v>
      </c>
      <c r="Q65" s="10" t="s">
        <v>65</v>
      </c>
      <c r="R65" s="10" t="s">
        <v>65</v>
      </c>
      <c r="S65" s="10">
        <v>0.332</v>
      </c>
      <c r="T65" s="10">
        <v>0.167</v>
      </c>
      <c r="U65" s="10">
        <v>0.341</v>
      </c>
      <c r="V65" s="10" t="s">
        <v>65</v>
      </c>
      <c r="W65" s="10" t="s">
        <v>941</v>
      </c>
      <c r="X65" s="58"/>
      <c r="Y65" s="58"/>
      <c r="Z65" s="58"/>
      <c r="AA65" s="58"/>
    </row>
    <row r="66">
      <c r="A66" s="9" t="s">
        <v>909</v>
      </c>
      <c r="B66" s="9" t="s">
        <v>940</v>
      </c>
      <c r="C66" s="10">
        <v>-0.102</v>
      </c>
      <c r="D66" s="10" t="s">
        <v>1015</v>
      </c>
      <c r="E66" s="10" t="s">
        <v>1016</v>
      </c>
      <c r="F66" s="10" t="s">
        <v>1017</v>
      </c>
      <c r="G66" s="10">
        <v>-0.153</v>
      </c>
      <c r="H66" s="10">
        <v>-0.074</v>
      </c>
      <c r="I66" s="10">
        <v>-0.011</v>
      </c>
      <c r="J66" s="10">
        <v>-0.205</v>
      </c>
      <c r="K66" s="10" t="s">
        <v>1018</v>
      </c>
      <c r="L66" s="10">
        <v>-0.156</v>
      </c>
      <c r="M66" s="10">
        <v>0.006</v>
      </c>
      <c r="N66" s="10">
        <v>-0.142</v>
      </c>
      <c r="O66" s="10" t="s">
        <v>1019</v>
      </c>
      <c r="P66" s="10" t="s">
        <v>1020</v>
      </c>
      <c r="Q66" s="10">
        <v>-0.119</v>
      </c>
      <c r="R66" s="10">
        <v>0.094</v>
      </c>
      <c r="S66" s="10">
        <v>-0.11</v>
      </c>
      <c r="T66" s="10">
        <v>-0.173</v>
      </c>
      <c r="U66" s="10" t="s">
        <v>1021</v>
      </c>
      <c r="V66" s="10">
        <v>-0.069</v>
      </c>
      <c r="W66" s="10">
        <v>-0.063</v>
      </c>
      <c r="X66" s="10" t="s">
        <v>941</v>
      </c>
      <c r="Y66" s="58"/>
      <c r="Z66" s="58"/>
      <c r="AA66" s="58"/>
    </row>
    <row r="67">
      <c r="B67" s="9" t="s">
        <v>45</v>
      </c>
      <c r="C67" s="10">
        <v>54.0</v>
      </c>
      <c r="D67" s="10">
        <v>54.0</v>
      </c>
      <c r="E67" s="10">
        <v>54.0</v>
      </c>
      <c r="F67" s="10">
        <v>54.0</v>
      </c>
      <c r="G67" s="10">
        <v>54.0</v>
      </c>
      <c r="H67" s="10">
        <v>54.0</v>
      </c>
      <c r="I67" s="10">
        <v>54.0</v>
      </c>
      <c r="J67" s="10">
        <v>54.0</v>
      </c>
      <c r="K67" s="10">
        <v>54.0</v>
      </c>
      <c r="L67" s="10">
        <v>54.0</v>
      </c>
      <c r="M67" s="10">
        <v>54.0</v>
      </c>
      <c r="N67" s="10">
        <v>54.0</v>
      </c>
      <c r="O67" s="10">
        <v>54.0</v>
      </c>
      <c r="P67" s="10">
        <v>54.0</v>
      </c>
      <c r="Q67" s="10">
        <v>54.0</v>
      </c>
      <c r="R67" s="10">
        <v>54.0</v>
      </c>
      <c r="S67" s="10">
        <v>54.0</v>
      </c>
      <c r="T67" s="10">
        <v>54.0</v>
      </c>
      <c r="U67" s="10">
        <v>54.0</v>
      </c>
      <c r="V67" s="10">
        <v>54.0</v>
      </c>
      <c r="W67" s="10">
        <v>54.0</v>
      </c>
      <c r="X67" s="10" t="s">
        <v>941</v>
      </c>
      <c r="Y67" s="58"/>
      <c r="Z67" s="58"/>
      <c r="AA67" s="58"/>
    </row>
    <row r="68">
      <c r="B68" s="9" t="s">
        <v>942</v>
      </c>
      <c r="C68" s="10">
        <v>0.453</v>
      </c>
      <c r="D68" s="10">
        <v>0.005</v>
      </c>
      <c r="E68" s="10" t="s">
        <v>65</v>
      </c>
      <c r="F68" s="10" t="s">
        <v>65</v>
      </c>
      <c r="G68" s="10">
        <v>0.262</v>
      </c>
      <c r="H68" s="10">
        <v>0.588</v>
      </c>
      <c r="I68" s="10">
        <v>0.936</v>
      </c>
      <c r="J68" s="10">
        <v>0.13</v>
      </c>
      <c r="K68" s="10">
        <v>0.038</v>
      </c>
      <c r="L68" s="10">
        <v>0.25</v>
      </c>
      <c r="M68" s="10">
        <v>0.964</v>
      </c>
      <c r="N68" s="10">
        <v>0.297</v>
      </c>
      <c r="O68" s="10">
        <v>0.018</v>
      </c>
      <c r="P68" s="10">
        <v>0.008</v>
      </c>
      <c r="Q68" s="10">
        <v>0.383</v>
      </c>
      <c r="R68" s="10">
        <v>0.49</v>
      </c>
      <c r="S68" s="10">
        <v>0.418</v>
      </c>
      <c r="T68" s="10">
        <v>0.202</v>
      </c>
      <c r="U68" s="10">
        <v>0.002</v>
      </c>
      <c r="V68" s="10">
        <v>0.614</v>
      </c>
      <c r="W68" s="10">
        <v>0.644</v>
      </c>
      <c r="X68" s="10" t="s">
        <v>941</v>
      </c>
      <c r="Y68" s="58"/>
      <c r="Z68" s="58"/>
      <c r="AA68" s="58"/>
    </row>
    <row r="69">
      <c r="A69" s="9" t="s">
        <v>915</v>
      </c>
      <c r="B69" s="9" t="s">
        <v>940</v>
      </c>
      <c r="C69" s="10">
        <v>-0.245</v>
      </c>
      <c r="D69" s="10">
        <v>0.116</v>
      </c>
      <c r="E69" s="10">
        <v>-0.258</v>
      </c>
      <c r="F69" s="10">
        <v>0.209</v>
      </c>
      <c r="G69" s="10">
        <v>-0.086</v>
      </c>
      <c r="H69" s="10">
        <v>-0.128</v>
      </c>
      <c r="I69" s="10" t="s">
        <v>1022</v>
      </c>
      <c r="J69" s="10" t="s">
        <v>1023</v>
      </c>
      <c r="K69" s="10" t="s">
        <v>1024</v>
      </c>
      <c r="L69" s="10">
        <v>-0.016</v>
      </c>
      <c r="M69" s="10">
        <v>-0.199</v>
      </c>
      <c r="N69" s="10">
        <v>-0.093</v>
      </c>
      <c r="O69" s="10">
        <v>-0.115</v>
      </c>
      <c r="P69" s="10">
        <v>0.251</v>
      </c>
      <c r="Q69" s="10">
        <v>0.142</v>
      </c>
      <c r="R69" s="10">
        <v>0.097</v>
      </c>
      <c r="S69" s="10">
        <v>-0.047</v>
      </c>
      <c r="T69" s="10">
        <v>-0.237</v>
      </c>
      <c r="U69" s="10" t="s">
        <v>1025</v>
      </c>
      <c r="V69" s="10">
        <v>-0.074</v>
      </c>
      <c r="W69" s="10">
        <v>-0.163</v>
      </c>
      <c r="X69" s="10" t="s">
        <v>1009</v>
      </c>
      <c r="Y69" s="10" t="s">
        <v>941</v>
      </c>
      <c r="Z69" s="58"/>
      <c r="AA69" s="58"/>
    </row>
    <row r="70">
      <c r="B70" s="9" t="s">
        <v>45</v>
      </c>
      <c r="C70" s="10">
        <v>54.0</v>
      </c>
      <c r="D70" s="10">
        <v>54.0</v>
      </c>
      <c r="E70" s="10">
        <v>54.0</v>
      </c>
      <c r="F70" s="10">
        <v>54.0</v>
      </c>
      <c r="G70" s="10">
        <v>54.0</v>
      </c>
      <c r="H70" s="10">
        <v>54.0</v>
      </c>
      <c r="I70" s="10">
        <v>54.0</v>
      </c>
      <c r="J70" s="10">
        <v>54.0</v>
      </c>
      <c r="K70" s="10">
        <v>54.0</v>
      </c>
      <c r="L70" s="10">
        <v>54.0</v>
      </c>
      <c r="M70" s="10">
        <v>54.0</v>
      </c>
      <c r="N70" s="10">
        <v>54.0</v>
      </c>
      <c r="O70" s="10">
        <v>54.0</v>
      </c>
      <c r="P70" s="10">
        <v>54.0</v>
      </c>
      <c r="Q70" s="10">
        <v>54.0</v>
      </c>
      <c r="R70" s="10">
        <v>54.0</v>
      </c>
      <c r="S70" s="10">
        <v>54.0</v>
      </c>
      <c r="T70" s="10">
        <v>54.0</v>
      </c>
      <c r="U70" s="10">
        <v>54.0</v>
      </c>
      <c r="V70" s="10">
        <v>54.0</v>
      </c>
      <c r="W70" s="10">
        <v>54.0</v>
      </c>
      <c r="X70" s="10">
        <v>54.0</v>
      </c>
      <c r="Y70" s="10" t="s">
        <v>941</v>
      </c>
      <c r="Z70" s="58"/>
      <c r="AA70" s="58"/>
    </row>
    <row r="71">
      <c r="B71" s="9" t="s">
        <v>942</v>
      </c>
      <c r="C71" s="10">
        <v>0.068</v>
      </c>
      <c r="D71" s="10">
        <v>0.393</v>
      </c>
      <c r="E71" s="10">
        <v>0.055</v>
      </c>
      <c r="F71" s="10">
        <v>0.121</v>
      </c>
      <c r="G71" s="10">
        <v>0.527</v>
      </c>
      <c r="H71" s="10">
        <v>0.346</v>
      </c>
      <c r="I71" s="10">
        <v>0.02</v>
      </c>
      <c r="J71" s="10" t="s">
        <v>65</v>
      </c>
      <c r="K71" s="10" t="s">
        <v>65</v>
      </c>
      <c r="L71" s="10">
        <v>0.908</v>
      </c>
      <c r="M71" s="10">
        <v>0.142</v>
      </c>
      <c r="N71" s="10">
        <v>0.493</v>
      </c>
      <c r="O71" s="10">
        <v>0.397</v>
      </c>
      <c r="P71" s="10">
        <v>0.062</v>
      </c>
      <c r="Q71" s="10">
        <v>0.298</v>
      </c>
      <c r="R71" s="10">
        <v>0.477</v>
      </c>
      <c r="S71" s="10">
        <v>0.734</v>
      </c>
      <c r="T71" s="10">
        <v>0.078</v>
      </c>
      <c r="U71" s="10">
        <v>0.042</v>
      </c>
      <c r="V71" s="10">
        <v>0.587</v>
      </c>
      <c r="W71" s="10">
        <v>0.23</v>
      </c>
      <c r="X71" s="10">
        <v>0.041</v>
      </c>
      <c r="Y71" s="10" t="s">
        <v>941</v>
      </c>
      <c r="Z71" s="58"/>
      <c r="AA71" s="58"/>
    </row>
    <row r="72">
      <c r="A72" s="9" t="s">
        <v>921</v>
      </c>
      <c r="B72" s="9" t="s">
        <v>940</v>
      </c>
      <c r="C72" s="10">
        <v>-0.234</v>
      </c>
      <c r="D72" s="10">
        <v>-0.162</v>
      </c>
      <c r="E72" s="10">
        <v>-0.175</v>
      </c>
      <c r="F72" s="10" t="s">
        <v>1025</v>
      </c>
      <c r="G72" s="10">
        <v>0.048</v>
      </c>
      <c r="H72" s="10">
        <v>0.185</v>
      </c>
      <c r="I72" s="10">
        <v>-0.063</v>
      </c>
      <c r="J72" s="10">
        <v>-0.065</v>
      </c>
      <c r="K72" s="10">
        <v>0.109</v>
      </c>
      <c r="L72" s="10">
        <v>0.128</v>
      </c>
      <c r="M72" s="10">
        <v>0.096</v>
      </c>
      <c r="N72" s="10" t="s">
        <v>1026</v>
      </c>
      <c r="O72" s="10" t="s">
        <v>1027</v>
      </c>
      <c r="P72" s="10" t="s">
        <v>1028</v>
      </c>
      <c r="Q72" s="10">
        <v>0.1</v>
      </c>
      <c r="R72" s="10">
        <v>0.253</v>
      </c>
      <c r="S72" s="10">
        <v>-0.151</v>
      </c>
      <c r="T72" s="10" t="s">
        <v>1029</v>
      </c>
      <c r="U72" s="10" t="s">
        <v>1030</v>
      </c>
      <c r="V72" s="10">
        <v>-0.005</v>
      </c>
      <c r="W72" s="10">
        <v>0.016</v>
      </c>
      <c r="X72" s="10" t="s">
        <v>1031</v>
      </c>
      <c r="Y72" s="10">
        <v>0.139</v>
      </c>
      <c r="Z72" s="10" t="s">
        <v>941</v>
      </c>
      <c r="AA72" s="58"/>
    </row>
    <row r="73">
      <c r="B73" s="9" t="s">
        <v>45</v>
      </c>
      <c r="C73" s="10">
        <v>54.0</v>
      </c>
      <c r="D73" s="10">
        <v>54.0</v>
      </c>
      <c r="E73" s="10">
        <v>54.0</v>
      </c>
      <c r="F73" s="10">
        <v>54.0</v>
      </c>
      <c r="G73" s="10">
        <v>54.0</v>
      </c>
      <c r="H73" s="10">
        <v>54.0</v>
      </c>
      <c r="I73" s="10">
        <v>54.0</v>
      </c>
      <c r="J73" s="10">
        <v>54.0</v>
      </c>
      <c r="K73" s="10">
        <v>54.0</v>
      </c>
      <c r="L73" s="10">
        <v>54.0</v>
      </c>
      <c r="M73" s="10">
        <v>54.0</v>
      </c>
      <c r="N73" s="10">
        <v>54.0</v>
      </c>
      <c r="O73" s="10">
        <v>54.0</v>
      </c>
      <c r="P73" s="10">
        <v>54.0</v>
      </c>
      <c r="Q73" s="10">
        <v>54.0</v>
      </c>
      <c r="R73" s="10">
        <v>54.0</v>
      </c>
      <c r="S73" s="10">
        <v>54.0</v>
      </c>
      <c r="T73" s="10">
        <v>54.0</v>
      </c>
      <c r="U73" s="10">
        <v>54.0</v>
      </c>
      <c r="V73" s="10">
        <v>54.0</v>
      </c>
      <c r="W73" s="10">
        <v>54.0</v>
      </c>
      <c r="X73" s="10">
        <v>54.0</v>
      </c>
      <c r="Y73" s="10">
        <v>54.0</v>
      </c>
      <c r="Z73" s="10" t="s">
        <v>941</v>
      </c>
      <c r="AA73" s="58"/>
    </row>
    <row r="74">
      <c r="B74" s="9" t="s">
        <v>942</v>
      </c>
      <c r="C74" s="10">
        <v>0.082</v>
      </c>
      <c r="D74" s="10">
        <v>0.234</v>
      </c>
      <c r="E74" s="10">
        <v>0.197</v>
      </c>
      <c r="F74" s="10">
        <v>0.041</v>
      </c>
      <c r="G74" s="10">
        <v>0.723</v>
      </c>
      <c r="H74" s="10">
        <v>0.173</v>
      </c>
      <c r="I74" s="10">
        <v>0.646</v>
      </c>
      <c r="J74" s="10">
        <v>0.632</v>
      </c>
      <c r="K74" s="10">
        <v>0.425</v>
      </c>
      <c r="L74" s="10">
        <v>0.348</v>
      </c>
      <c r="M74" s="10">
        <v>0.482</v>
      </c>
      <c r="N74" s="10" t="s">
        <v>65</v>
      </c>
      <c r="O74" s="10" t="s">
        <v>65</v>
      </c>
      <c r="P74" s="10" t="s">
        <v>65</v>
      </c>
      <c r="Q74" s="10">
        <v>0.463</v>
      </c>
      <c r="R74" s="10">
        <v>0.06</v>
      </c>
      <c r="S74" s="10">
        <v>0.268</v>
      </c>
      <c r="T74" s="10">
        <v>0.046</v>
      </c>
      <c r="U74" s="10">
        <v>0.008</v>
      </c>
      <c r="V74" s="10">
        <v>0.974</v>
      </c>
      <c r="W74" s="10">
        <v>0.906</v>
      </c>
      <c r="X74" s="10">
        <v>0.015</v>
      </c>
      <c r="Y74" s="10">
        <v>0.306</v>
      </c>
      <c r="Z74" s="10" t="s">
        <v>941</v>
      </c>
      <c r="AA74" s="58"/>
    </row>
    <row r="75">
      <c r="A75" s="9" t="s">
        <v>927</v>
      </c>
      <c r="B75" s="9" t="s">
        <v>940</v>
      </c>
      <c r="C75" s="10">
        <v>-0.159</v>
      </c>
      <c r="D75" s="10">
        <v>-0.147</v>
      </c>
      <c r="E75" s="10" t="s">
        <v>1032</v>
      </c>
      <c r="F75" s="10" t="s">
        <v>1033</v>
      </c>
      <c r="G75" s="10">
        <v>-0.018</v>
      </c>
      <c r="H75" s="10">
        <v>-0.041</v>
      </c>
      <c r="I75" s="10">
        <v>-0.036</v>
      </c>
      <c r="J75" s="10" t="s">
        <v>1034</v>
      </c>
      <c r="K75" s="10" t="s">
        <v>1035</v>
      </c>
      <c r="L75" s="10">
        <v>0.063</v>
      </c>
      <c r="M75" s="10">
        <v>-0.179</v>
      </c>
      <c r="N75" s="10">
        <v>-0.16</v>
      </c>
      <c r="O75" s="10">
        <v>-0.018</v>
      </c>
      <c r="P75" s="10">
        <v>0.211</v>
      </c>
      <c r="Q75" s="10">
        <v>0.023</v>
      </c>
      <c r="R75" s="10">
        <v>-0.097</v>
      </c>
      <c r="S75" s="10" t="s">
        <v>1036</v>
      </c>
      <c r="T75" s="10" t="s">
        <v>1000</v>
      </c>
      <c r="U75" s="10" t="s">
        <v>1011</v>
      </c>
      <c r="V75" s="10">
        <v>0.065</v>
      </c>
      <c r="W75" s="10">
        <v>0.045</v>
      </c>
      <c r="X75" s="10" t="s">
        <v>1037</v>
      </c>
      <c r="Y75" s="10">
        <v>0.208</v>
      </c>
      <c r="Z75" s="10">
        <v>0.239</v>
      </c>
      <c r="AA75" s="10" t="s">
        <v>941</v>
      </c>
    </row>
    <row r="76">
      <c r="B76" s="9" t="s">
        <v>45</v>
      </c>
      <c r="C76" s="10">
        <v>54.0</v>
      </c>
      <c r="D76" s="10">
        <v>54.0</v>
      </c>
      <c r="E76" s="10">
        <v>54.0</v>
      </c>
      <c r="F76" s="10">
        <v>54.0</v>
      </c>
      <c r="G76" s="10">
        <v>54.0</v>
      </c>
      <c r="H76" s="10">
        <v>54.0</v>
      </c>
      <c r="I76" s="10">
        <v>54.0</v>
      </c>
      <c r="J76" s="10">
        <v>54.0</v>
      </c>
      <c r="K76" s="10">
        <v>54.0</v>
      </c>
      <c r="L76" s="10">
        <v>54.0</v>
      </c>
      <c r="M76" s="10">
        <v>54.0</v>
      </c>
      <c r="N76" s="10">
        <v>54.0</v>
      </c>
      <c r="O76" s="10">
        <v>54.0</v>
      </c>
      <c r="P76" s="10">
        <v>54.0</v>
      </c>
      <c r="Q76" s="10">
        <v>54.0</v>
      </c>
      <c r="R76" s="10">
        <v>54.0</v>
      </c>
      <c r="S76" s="10">
        <v>54.0</v>
      </c>
      <c r="T76" s="10">
        <v>54.0</v>
      </c>
      <c r="U76" s="10">
        <v>54.0</v>
      </c>
      <c r="V76" s="10">
        <v>54.0</v>
      </c>
      <c r="W76" s="10">
        <v>54.0</v>
      </c>
      <c r="X76" s="10">
        <v>54.0</v>
      </c>
      <c r="Y76" s="10">
        <v>54.0</v>
      </c>
      <c r="Z76" s="10">
        <v>54.0</v>
      </c>
      <c r="AA76" s="10" t="s">
        <v>941</v>
      </c>
    </row>
    <row r="77">
      <c r="A77" s="64"/>
      <c r="B77" s="18" t="s">
        <v>942</v>
      </c>
      <c r="C77" s="19">
        <v>0.241</v>
      </c>
      <c r="D77" s="19">
        <v>0.279</v>
      </c>
      <c r="E77" s="19">
        <v>0.004</v>
      </c>
      <c r="F77" s="19">
        <v>0.05</v>
      </c>
      <c r="G77" s="19">
        <v>0.898</v>
      </c>
      <c r="H77" s="19">
        <v>0.762</v>
      </c>
      <c r="I77" s="19">
        <v>0.792</v>
      </c>
      <c r="J77" s="19">
        <v>0.009</v>
      </c>
      <c r="K77" s="19">
        <v>0.031</v>
      </c>
      <c r="L77" s="19">
        <v>0.644</v>
      </c>
      <c r="M77" s="19">
        <v>0.188</v>
      </c>
      <c r="N77" s="19">
        <v>0.238</v>
      </c>
      <c r="O77" s="19">
        <v>0.895</v>
      </c>
      <c r="P77" s="19">
        <v>0.118</v>
      </c>
      <c r="Q77" s="19">
        <v>0.864</v>
      </c>
      <c r="R77" s="19">
        <v>0.475</v>
      </c>
      <c r="S77" s="19">
        <v>0.001</v>
      </c>
      <c r="T77" s="19" t="s">
        <v>65</v>
      </c>
      <c r="U77" s="19" t="s">
        <v>65</v>
      </c>
      <c r="V77" s="19">
        <v>0.632</v>
      </c>
      <c r="W77" s="19">
        <v>0.742</v>
      </c>
      <c r="X77" s="19">
        <v>0.002</v>
      </c>
      <c r="Y77" s="19">
        <v>0.123</v>
      </c>
      <c r="Z77" s="19">
        <v>0.076</v>
      </c>
      <c r="AA77" s="19" t="s">
        <v>941</v>
      </c>
    </row>
  </sheetData>
  <mergeCells count="26">
    <mergeCell ref="A1:AA1"/>
    <mergeCell ref="A3:A5"/>
    <mergeCell ref="A6:A8"/>
    <mergeCell ref="A9:A11"/>
    <mergeCell ref="A12:A14"/>
    <mergeCell ref="A15:A17"/>
    <mergeCell ref="A18:A20"/>
    <mergeCell ref="A21:A23"/>
    <mergeCell ref="A24:A26"/>
    <mergeCell ref="A27:A29"/>
    <mergeCell ref="A30:A32"/>
    <mergeCell ref="A33:A35"/>
    <mergeCell ref="A36:A38"/>
    <mergeCell ref="A39:A41"/>
    <mergeCell ref="A63:A65"/>
    <mergeCell ref="A66:A68"/>
    <mergeCell ref="A69:A71"/>
    <mergeCell ref="A72:A74"/>
    <mergeCell ref="A75:A77"/>
    <mergeCell ref="A42:A44"/>
    <mergeCell ref="A45:A47"/>
    <mergeCell ref="A48:A50"/>
    <mergeCell ref="A51:A53"/>
    <mergeCell ref="A54:A56"/>
    <mergeCell ref="A57:A59"/>
    <mergeCell ref="A60:A6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9" t="s">
        <v>41</v>
      </c>
      <c r="B1" s="59" t="s">
        <v>243</v>
      </c>
      <c r="D1" s="59" t="s">
        <v>244</v>
      </c>
      <c r="F1" s="59" t="s">
        <v>245</v>
      </c>
    </row>
    <row r="2">
      <c r="A2" s="60" t="s">
        <v>22</v>
      </c>
      <c r="B2" s="61">
        <v>54.0</v>
      </c>
      <c r="C2" s="62">
        <v>0.964</v>
      </c>
      <c r="D2" s="61">
        <v>0.0</v>
      </c>
      <c r="E2" s="62">
        <v>0.0</v>
      </c>
      <c r="F2" s="61">
        <v>2.0</v>
      </c>
      <c r="G2" s="62">
        <v>0.036</v>
      </c>
    </row>
    <row r="3">
      <c r="A3" s="60" t="s">
        <v>32</v>
      </c>
      <c r="B3" s="61">
        <v>43.0</v>
      </c>
      <c r="C3" s="62">
        <v>0.768</v>
      </c>
      <c r="D3" s="61">
        <v>11.0</v>
      </c>
      <c r="E3" s="62">
        <v>0.196</v>
      </c>
      <c r="F3" s="61">
        <v>2.0</v>
      </c>
      <c r="G3" s="62">
        <v>0.036</v>
      </c>
    </row>
    <row r="4">
      <c r="A4" s="60" t="s">
        <v>46</v>
      </c>
      <c r="B4" s="61">
        <v>51.0</v>
      </c>
      <c r="C4" s="62">
        <v>0.911</v>
      </c>
      <c r="D4" s="61">
        <v>5.0</v>
      </c>
      <c r="E4" s="62">
        <v>0.089</v>
      </c>
      <c r="F4" s="61">
        <v>0.0</v>
      </c>
      <c r="G4" s="62">
        <v>0.0</v>
      </c>
    </row>
    <row r="5">
      <c r="A5" s="60" t="s">
        <v>57</v>
      </c>
      <c r="B5" s="61">
        <v>50.0</v>
      </c>
      <c r="C5" s="62">
        <v>0.893</v>
      </c>
      <c r="D5" s="61">
        <v>5.0</v>
      </c>
      <c r="E5" s="62">
        <v>0.089</v>
      </c>
      <c r="F5" s="61">
        <v>1.0</v>
      </c>
      <c r="G5" s="62">
        <v>0.018</v>
      </c>
    </row>
    <row r="7">
      <c r="A7" s="59" t="s">
        <v>41</v>
      </c>
      <c r="B7" s="59" t="s">
        <v>246</v>
      </c>
      <c r="D7" s="59" t="s">
        <v>988</v>
      </c>
      <c r="F7" s="59" t="s">
        <v>989</v>
      </c>
    </row>
    <row r="8">
      <c r="A8" s="60" t="s">
        <v>990</v>
      </c>
      <c r="B8" s="60">
        <v>21.0</v>
      </c>
      <c r="C8" s="63">
        <v>0.375</v>
      </c>
      <c r="D8" s="60">
        <v>25.0</v>
      </c>
      <c r="E8" s="63">
        <v>0.446</v>
      </c>
      <c r="F8" s="60">
        <v>10.0</v>
      </c>
      <c r="G8" s="63">
        <v>0.179</v>
      </c>
    </row>
    <row r="9">
      <c r="A9" s="60" t="s">
        <v>991</v>
      </c>
      <c r="B9" s="60">
        <v>14.0</v>
      </c>
      <c r="C9" s="63">
        <v>0.25</v>
      </c>
      <c r="D9" s="60">
        <v>33.0</v>
      </c>
      <c r="E9" s="63">
        <v>0.589</v>
      </c>
      <c r="F9" s="60">
        <v>9.0</v>
      </c>
      <c r="G9" s="63">
        <v>0.161</v>
      </c>
    </row>
    <row r="10">
      <c r="A10" s="60" t="s">
        <v>992</v>
      </c>
      <c r="B10" s="60">
        <v>6.0</v>
      </c>
      <c r="C10" s="63">
        <v>0.107</v>
      </c>
      <c r="D10" s="60">
        <v>45.0</v>
      </c>
      <c r="E10" s="63">
        <v>0.804</v>
      </c>
      <c r="F10" s="60">
        <v>5.0</v>
      </c>
      <c r="G10" s="63">
        <v>0.089</v>
      </c>
    </row>
    <row r="11">
      <c r="A11" s="60" t="s">
        <v>993</v>
      </c>
      <c r="B11" s="60">
        <v>9.0</v>
      </c>
      <c r="C11" s="63">
        <v>0.161</v>
      </c>
      <c r="D11" s="60">
        <v>39.0</v>
      </c>
      <c r="E11" s="63">
        <v>0.696</v>
      </c>
      <c r="F11" s="60">
        <v>8.0</v>
      </c>
      <c r="G11" s="63">
        <v>0.143</v>
      </c>
    </row>
  </sheetData>
  <mergeCells count="6">
    <mergeCell ref="B1:C1"/>
    <mergeCell ref="D1:E1"/>
    <mergeCell ref="F1:G1"/>
    <mergeCell ref="B7:C7"/>
    <mergeCell ref="D7:E7"/>
    <mergeCell ref="F7:G7"/>
  </mergeCells>
  <drawing r:id="rId1"/>
</worksheet>
</file>